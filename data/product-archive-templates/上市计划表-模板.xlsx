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640" firstSheet="1" activeTab="2"/>
  </bookViews>
  <sheets>
    <sheet name="Sheet1" sheetId="13" state="hidden" r:id="rId1"/>
    <sheet name="2026-线上" sheetId="15" r:id="rId2"/>
    <sheet name="2026-全域" sheetId="16" r:id="rId3"/>
  </sheets>
  <definedNames>
    <definedName name="a">OFFSET(#REF!,0,0,COUNTIF(#REF!,"=16"),1)</definedName>
    <definedName name="aaa">OFFSET(#REF!,0,0,COUNTIF(#REF!,"=16"),1)</definedName>
    <definedName name="eee">OFFSET(#REF!,0,0,COUNTIF(#REF!,"=16"),1)</definedName>
    <definedName name="kua">OFFSET(#REF!,0,0,COUNTIF(#REF!,"=16"),1)</definedName>
    <definedName name="的">OFFSET(#REF!,0,0,COUNTIF(#REF!,"=16"),1)</definedName>
    <definedName name="订货会喷绘模板">OFFSET(#REF!,0,0,COUNTIF(#REF!,"=16"),1)</definedName>
    <definedName name="多">#REF!</definedName>
    <definedName name="多品类">OFFSET(#REF!,0,0,COUNTIF(#REF!,"=16"),1)</definedName>
    <definedName name="规划类">OFFSET(#REF!,0,0,COUNTIF(#REF!,"=16"),1)</definedName>
    <definedName name="喝">OFFSET(#REF!,0,0,COUNTIF(#REF!,"=16"),1)</definedName>
    <definedName name="合并">OFFSET(#REF!,0,0,COUNTIF(#REF!,"=16"),1)</definedName>
    <definedName name="零售量">#REF!</definedName>
    <definedName name="去去去去从">#REF!</definedName>
    <definedName name="是">OFFSET(#REF!,0,0,COUNTIF(#REF!,"=16"),1)</definedName>
    <definedName name="图表SKU">OFFSET(#REF!,0,0,COUNTIF(#REF!,"=16"),1)</definedName>
    <definedName name="图表编号">OFFSET(#REF!,0,0,COUNTIF(#REF!,"=16"),1)</definedName>
    <definedName name="图表动销">OFFSET(#REF!,0,0,COUNTIF(#REF!,"=16"),1)</definedName>
    <definedName name="图表累计占比">OFFSET(#REF!,0,0,COUNTIF(#REF!,"=16"),1)</definedName>
    <definedName name="图表配发">OFFSET(#REF!,0,0,COUNTIF(#REF!,"=16"),1)</definedName>
    <definedName name="图表销量占比">OFFSET(#REF!,0,0,COUNTIF(#REF!,"=16"),1)</definedName>
    <definedName name="图表销售">OFFSET(#REF!,0,0,COUNTIF(#REF!,"=16"),1)</definedName>
    <definedName name="新的1">OFFSET(#REF!,0,0,COUNTIF(#REF!,"=16"),1)</definedName>
    <definedName name="性别">#REF!</definedName>
    <definedName name="婴童喷绘">OFFSET(#REF!,0,0,COUNTIF(#REF!,"=16"),1)</definedName>
    <definedName name="中类描述">#REF!</definedName>
    <definedName name="中童结构">OFFSET(#REF!,0,0,COUNTIF(#REF!,"=16"),1)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作者</author>
  </authors>
  <commentList>
    <comment ref="K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作者:
牛仔类产品备注</t>
        </r>
      </text>
    </comment>
    <comment ref="V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版单号标黄色为无商品信息
</t>
        </r>
      </text>
    </comment>
    <comment ref="BP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作者:
新品SABC
温州-正特清尾</t>
        </r>
      </text>
    </comment>
    <comment ref="BQ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XX优先为全渠道上新款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K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作者:
牛仔类产品备注</t>
        </r>
      </text>
    </comment>
    <comment ref="V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版单号标黄色为无商品信息
</t>
        </r>
      </text>
    </comment>
    <comment ref="BK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作者:
新品SABC
温州-正特清尾</t>
        </r>
      </text>
    </comment>
    <comment ref="BQ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XX优先为全渠道上新款</t>
        </r>
      </text>
    </comment>
  </commentList>
</comments>
</file>

<file path=xl/sharedStrings.xml><?xml version="1.0" encoding="utf-8"?>
<sst xmlns="http://schemas.openxmlformats.org/spreadsheetml/2006/main" count="845" uniqueCount="340">
  <si>
    <t>上市渠道</t>
  </si>
  <si>
    <t>渠道共享</t>
  </si>
  <si>
    <t>求和项:款数</t>
  </si>
  <si>
    <t>属性-销</t>
  </si>
  <si>
    <t>属性</t>
  </si>
  <si>
    <t>产品线</t>
  </si>
  <si>
    <t>专供新品</t>
  </si>
  <si>
    <t>翻单款</t>
  </si>
  <si>
    <t>全域款</t>
  </si>
  <si>
    <t>总计</t>
  </si>
  <si>
    <t>中童</t>
  </si>
  <si>
    <t>婴幼童</t>
  </si>
  <si>
    <t>用品</t>
  </si>
  <si>
    <t>鞋品</t>
  </si>
  <si>
    <t>HOME</t>
  </si>
  <si>
    <t>细节差异/产品规格差异/推荐岁段</t>
  </si>
  <si>
    <t>买手</t>
  </si>
  <si>
    <t>公式</t>
  </si>
  <si>
    <t>后删</t>
  </si>
  <si>
    <t>上新模块</t>
  </si>
  <si>
    <t>计划匹配</t>
  </si>
  <si>
    <t>运营看</t>
  </si>
  <si>
    <t>商品基础信息</t>
  </si>
  <si>
    <t>非0的需核对</t>
  </si>
  <si>
    <t>上市规划</t>
  </si>
  <si>
    <t>正常上市</t>
  </si>
  <si>
    <t>新品SABC/温州-正特清尾</t>
  </si>
  <si>
    <t>运营模块</t>
  </si>
  <si>
    <t>包装</t>
  </si>
  <si>
    <t>货量信息</t>
  </si>
  <si>
    <t>鞋品提前追单</t>
  </si>
  <si>
    <t>细码</t>
  </si>
  <si>
    <t>预估整季量</t>
  </si>
  <si>
    <t>产品备注（含电子产品）</t>
  </si>
  <si>
    <t>鞋品穿着方式/帽子头围推荐</t>
  </si>
  <si>
    <t>特殊功能</t>
  </si>
  <si>
    <t>鞋品大底材质/用品材质</t>
  </si>
  <si>
    <t>同款/通码/拼链接/拼码段</t>
  </si>
  <si>
    <t>老款号</t>
  </si>
  <si>
    <t>是否拼入老款号</t>
  </si>
  <si>
    <t>拼款（唯品）</t>
  </si>
  <si>
    <t>拼款（抖音）</t>
  </si>
  <si>
    <t>上新备注
（产品）</t>
  </si>
  <si>
    <t>上新备注（O2O）</t>
  </si>
  <si>
    <t>是否新建链接</t>
  </si>
  <si>
    <t>鞋品生产企业名称</t>
  </si>
  <si>
    <t>翻单款式备注（调整/原版）</t>
  </si>
  <si>
    <t>企划对接人</t>
  </si>
  <si>
    <t>新增/取消</t>
  </si>
  <si>
    <t>下单批次</t>
  </si>
  <si>
    <t>下单日期</t>
  </si>
  <si>
    <t>产品季</t>
  </si>
  <si>
    <t>大货款号</t>
  </si>
  <si>
    <t>版单号/</t>
  </si>
  <si>
    <t>翻单款老款号</t>
  </si>
  <si>
    <t>款数</t>
  </si>
  <si>
    <t>SKC数</t>
  </si>
  <si>
    <t>单款SKC数</t>
  </si>
  <si>
    <t>款色号</t>
  </si>
  <si>
    <t>款色图</t>
  </si>
  <si>
    <t>场景</t>
  </si>
  <si>
    <t>IP</t>
  </si>
  <si>
    <t>主题系列</t>
  </si>
  <si>
    <t>内里厚度</t>
  </si>
  <si>
    <t>适穿温度</t>
  </si>
  <si>
    <t>风格
（中/幼/新生儿/外出）</t>
  </si>
  <si>
    <t>设计批次</t>
  </si>
  <si>
    <t>年龄段</t>
  </si>
  <si>
    <t>尺码段</t>
  </si>
  <si>
    <t>性别</t>
  </si>
  <si>
    <t>品类</t>
  </si>
  <si>
    <t>小类</t>
  </si>
  <si>
    <t>颜色名称</t>
  </si>
  <si>
    <t>颜色代码</t>
  </si>
  <si>
    <t>核对匹配</t>
  </si>
  <si>
    <t>上下装配色</t>
  </si>
  <si>
    <t>单款包含的件数</t>
  </si>
  <si>
    <t>吊牌价</t>
  </si>
  <si>
    <t>核算吊牌价</t>
  </si>
  <si>
    <t>特殊标识</t>
  </si>
  <si>
    <t xml:space="preserve">商品信息 </t>
  </si>
  <si>
    <t>面种</t>
  </si>
  <si>
    <t>大身面料</t>
  </si>
  <si>
    <t>里料材质</t>
  </si>
  <si>
    <t>填充物</t>
  </si>
  <si>
    <t>FAB</t>
  </si>
  <si>
    <t>上市批次</t>
  </si>
  <si>
    <t>测试上市时间</t>
  </si>
  <si>
    <t>测款上市渠道</t>
  </si>
  <si>
    <t>内容上市时间</t>
  </si>
  <si>
    <t>搜索上市时间</t>
  </si>
  <si>
    <t>上市A价</t>
  </si>
  <si>
    <t>A价折扣</t>
  </si>
  <si>
    <t>上市S价</t>
  </si>
  <si>
    <t>S价折扣</t>
  </si>
  <si>
    <t>货品层级</t>
  </si>
  <si>
    <t>意向测款单品</t>
  </si>
  <si>
    <t>预售备注</t>
  </si>
  <si>
    <t>发布类目
(官方)</t>
  </si>
  <si>
    <t>发布类目
(唯品)</t>
  </si>
  <si>
    <t>主款式
（唯品四级品类）</t>
  </si>
  <si>
    <t>发布类目
(抖音)</t>
  </si>
  <si>
    <t>运营优化颜色命名</t>
  </si>
  <si>
    <t>模特</t>
  </si>
  <si>
    <t>亲子/闺蜜……组合</t>
  </si>
  <si>
    <t>导购</t>
  </si>
  <si>
    <t>视频导购</t>
  </si>
  <si>
    <t>视频测评</t>
  </si>
  <si>
    <t>视频录播</t>
  </si>
  <si>
    <t>创意拍</t>
  </si>
  <si>
    <t>创意情景拍+视频街拍</t>
  </si>
  <si>
    <t>核心爆款包装</t>
  </si>
  <si>
    <t>商品群</t>
  </si>
  <si>
    <t>首批sap到货时间</t>
  </si>
  <si>
    <t>拍照样到样时间</t>
  </si>
  <si>
    <t>样衣尺码</t>
  </si>
  <si>
    <t>对接人</t>
  </si>
  <si>
    <t>市值
（单款）</t>
  </si>
  <si>
    <t>市值
(单色）</t>
  </si>
  <si>
    <t>A促货值</t>
  </si>
  <si>
    <t>S促货值</t>
  </si>
  <si>
    <t>单款备货总量
（含追单）</t>
  </si>
  <si>
    <t>单色备货总量
（含追单）</t>
  </si>
  <si>
    <t>单色备货市值</t>
  </si>
  <si>
    <t>期初单款量</t>
  </si>
  <si>
    <t>期初单色量</t>
  </si>
  <si>
    <t>期初市值</t>
  </si>
  <si>
    <t>追加色量</t>
  </si>
  <si>
    <t>追加市值</t>
  </si>
  <si>
    <t>测试单款量</t>
  </si>
  <si>
    <t>测试单色量</t>
  </si>
  <si>
    <t>提前单
326一订</t>
  </si>
  <si>
    <t>提前单
326改款</t>
  </si>
  <si>
    <t>1-3月追单</t>
  </si>
  <si>
    <t>2月测款后提前单</t>
  </si>
  <si>
    <t>4月追单</t>
  </si>
  <si>
    <t>4/28追单</t>
  </si>
  <si>
    <t>5/15追单</t>
  </si>
  <si>
    <t>5/29调拨</t>
  </si>
  <si>
    <t>6/4追单</t>
  </si>
  <si>
    <t>6/4货期</t>
  </si>
  <si>
    <t>6/4追单市值</t>
  </si>
  <si>
    <t>6/11追单</t>
  </si>
  <si>
    <t>6/11货期</t>
  </si>
  <si>
    <t>6/11追单市值</t>
  </si>
  <si>
    <t>6/18追单</t>
  </si>
  <si>
    <t>6/18货期</t>
  </si>
  <si>
    <t>6/18追单市值</t>
  </si>
  <si>
    <t>048</t>
  </si>
  <si>
    <t>052</t>
  </si>
  <si>
    <t>059</t>
  </si>
  <si>
    <t>066</t>
  </si>
  <si>
    <t>073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</si>
  <si>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</si>
  <si>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</si>
  <si>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</si>
  <si>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</si>
  <si>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</si>
  <si>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</si>
  <si>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</si>
  <si>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</si>
  <si>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</si>
  <si>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165</t>
  </si>
  <si>
    <t>170</t>
  </si>
  <si>
    <t>175</t>
  </si>
  <si>
    <t>180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</si>
  <si>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</si>
  <si>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</si>
  <si>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</si>
  <si>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</si>
  <si>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</si>
  <si>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</si>
  <si>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</si>
  <si>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</si>
  <si>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</si>
  <si>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</si>
  <si>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</si>
  <si>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</si>
  <si>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</si>
  <si>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</si>
  <si>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</si>
  <si>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</si>
  <si>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</si>
  <si>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</si>
  <si>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</si>
  <si>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</si>
  <si>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</si>
  <si>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</si>
  <si>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</si>
  <si>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</si>
  <si>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</si>
  <si>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</si>
  <si>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合计</t>
  </si>
  <si>
    <t>差异</t>
  </si>
  <si>
    <t>预估备货总量(单色）</t>
  </si>
  <si>
    <t>预估总市值</t>
  </si>
  <si>
    <t>预估备货总量(到款）</t>
  </si>
  <si>
    <t>到款市值</t>
  </si>
  <si>
    <t>1500万</t>
  </si>
  <si>
    <t>爆品简称</t>
  </si>
  <si>
    <t>系统订单</t>
  </si>
  <si>
    <t>差</t>
  </si>
  <si>
    <t>鞋品-型号</t>
  </si>
  <si>
    <t>无</t>
  </si>
  <si>
    <t>新建</t>
  </si>
  <si>
    <t>原版</t>
  </si>
  <si>
    <t>魏艳珍</t>
  </si>
  <si>
    <t>11.13新增</t>
  </si>
  <si>
    <t>326</t>
  </si>
  <si>
    <t>209326133201</t>
  </si>
  <si>
    <t>326VDB-UZ-704B</t>
  </si>
  <si>
    <t>208325133201</t>
  </si>
  <si>
    <t>20932613320100311</t>
  </si>
  <si>
    <t>新生儿</t>
  </si>
  <si>
    <t>052-066</t>
  </si>
  <si>
    <t>中性</t>
  </si>
  <si>
    <t>内着连体衣</t>
  </si>
  <si>
    <t>内着侧开连体衣</t>
  </si>
  <si>
    <t>白色调00311</t>
  </si>
  <si>
    <t>00311</t>
  </si>
  <si>
    <t>针织</t>
  </si>
  <si>
    <t>165G单面布印小小和平鸽</t>
  </si>
  <si>
    <t>1色：一款四色，均为中性色，男女宝宝皆可穿着。满印款”balabala”字母纹样，净色款胸口logo织标、logo小皮标，增加自有IP的露出。 2款：这款为侧开系带连体衣，专为新生儿宝宝打造。7大匠心工艺，呵护宝宝成长；面料有两种，165g全棉单面布，柔软舒适，给与宝宝100%全棉呵护。120g棉透气网眼提花面料如云朵般柔软，会呼吸的面料。网孔结构更散热、更透气，炎炎夏日跟热痱说拜拜。 3搭配：这款可以给小朋友搭配帽子、口水巾等在日常穿着都是特别合适的。 4应季：这款厚度适合在夏季、春秋季内搭时可以穿着。</t>
  </si>
  <si>
    <t>126已上市</t>
  </si>
  <si>
    <t>S</t>
  </si>
  <si>
    <t>搜索独享</t>
  </si>
  <si>
    <t>童装/婴儿装/亲子装&gt;&gt;连身衣/爬服/哈衣</t>
  </si>
  <si>
    <t>哈衣/爬服/连体服</t>
  </si>
  <si>
    <t>长袖连体衣</t>
  </si>
  <si>
    <t>126已拍</t>
  </si>
  <si>
    <t>126已上</t>
  </si>
  <si>
    <t>色布消化</t>
  </si>
  <si>
    <t>20932613320100431</t>
  </si>
  <si>
    <t>黄白色调00431</t>
  </si>
  <si>
    <t>00431</t>
  </si>
  <si>
    <t>145G单面布</t>
  </si>
  <si>
    <t>20932613320100313</t>
  </si>
  <si>
    <t>白黄色调00313</t>
  </si>
  <si>
    <t>00313</t>
  </si>
  <si>
    <t>20932613320100316</t>
  </si>
  <si>
    <t xml:space="preserve"> 白红色调00316</t>
  </si>
  <si>
    <t>00316</t>
  </si>
  <si>
    <t>426改后下单新增</t>
  </si>
  <si>
    <t>20932613320100333</t>
  </si>
  <si>
    <t>黄色调00333</t>
  </si>
  <si>
    <t>00333</t>
  </si>
  <si>
    <t>特殊批</t>
  </si>
  <si>
    <t>/</t>
  </si>
  <si>
    <t>6-AI</t>
  </si>
  <si>
    <t>5/18到25%</t>
  </si>
  <si>
    <t>20932613320100314</t>
  </si>
  <si>
    <t>白绿色调00314</t>
  </si>
  <si>
    <t>00314</t>
  </si>
  <si>
    <t>20932613320101315</t>
  </si>
  <si>
    <t>粉色调01315</t>
  </si>
  <si>
    <t>01315</t>
  </si>
  <si>
    <t>后续删除</t>
  </si>
  <si>
    <t>云店分组</t>
  </si>
  <si>
    <t>细节差异/产品规格差异/推荐岁段/包重量及容量</t>
  </si>
  <si>
    <t>样衣需求提交时间</t>
  </si>
  <si>
    <t>面料编号</t>
  </si>
  <si>
    <t>上市时间</t>
  </si>
  <si>
    <t>入仓备注</t>
  </si>
  <si>
    <t>入仓SKC</t>
  </si>
  <si>
    <t>柔供备注</t>
  </si>
  <si>
    <t>柔供量</t>
  </si>
  <si>
    <t>柔供市值</t>
  </si>
  <si>
    <t>云店选款</t>
  </si>
  <si>
    <t>云店上市时间</t>
  </si>
  <si>
    <t>秋季新品1</t>
  </si>
  <si>
    <t>IP联名</t>
  </si>
  <si>
    <t>岁段【一级分组&amp;二级】</t>
  </si>
  <si>
    <t>——鞋—— 15-42【二级分组】</t>
  </si>
  <si>
    <t>内着家居</t>
  </si>
  <si>
    <t>饰品配件</t>
  </si>
  <si>
    <t>标题需求</t>
  </si>
  <si>
    <t>梅雨霖</t>
  </si>
  <si>
    <t>200326105103</t>
  </si>
  <si>
    <t>326FB-BS-502</t>
  </si>
  <si>
    <t>20032610510300334</t>
  </si>
  <si>
    <t/>
  </si>
  <si>
    <t>婴童外出服</t>
  </si>
  <si>
    <t>日常玩乐</t>
  </si>
  <si>
    <t>玩乐</t>
  </si>
  <si>
    <t>7A</t>
  </si>
  <si>
    <t>婴童</t>
  </si>
  <si>
    <t>066-100</t>
  </si>
  <si>
    <t>男</t>
  </si>
  <si>
    <t>便服</t>
  </si>
  <si>
    <t>梭织便服</t>
  </si>
  <si>
    <t>黄绿色调00334</t>
  </si>
  <si>
    <t>00334</t>
  </si>
  <si>
    <t>梭织</t>
  </si>
  <si>
    <t>涤纶四面弹印手绘植物彩格</t>
  </si>
  <si>
    <t>1.面料：涤纶四面弹印手绘植物彩格
2.功能：四面弹力，舒适灵活
3.版型：标准版型
4.工艺：无
5.颜色：黄绿色调00334
6.设计：翻领造型奶糖衣，梦幻松弛手绘图案花版，衬衫廓形，造型章仔</t>
  </si>
  <si>
    <t>B</t>
  </si>
  <si>
    <t>入温州总仓备货</t>
  </si>
  <si>
    <t>线下总仓备货</t>
  </si>
  <si>
    <t>2026秋季全部商品；便服；男婴童</t>
  </si>
  <si>
    <t>—婴童类— 52-100:便服</t>
  </si>
  <si>
    <t>童装/婴儿装/亲子装 &gt; 外套/夹克/大衣 &gt; 普通外套</t>
  </si>
  <si>
    <t>婴幼外套/风衣</t>
  </si>
  <si>
    <t>开衫外套</t>
  </si>
  <si>
    <t>服饰内衣&gt;服饰&gt;童装 &gt; 其他外套</t>
  </si>
  <si>
    <t>男婴</t>
  </si>
  <si>
    <t>1-AI</t>
  </si>
  <si>
    <t>200326105104</t>
  </si>
  <si>
    <t>326FB-BS-503</t>
  </si>
  <si>
    <t>20032610510400444</t>
  </si>
  <si>
    <t>巴拉自有IP-小章鱼</t>
  </si>
  <si>
    <t>小巴金标</t>
  </si>
  <si>
    <t>梦想</t>
  </si>
  <si>
    <t>绿色调00444</t>
  </si>
  <si>
    <t>00444</t>
  </si>
  <si>
    <t>21W全棉灯芯绒（亚东）</t>
  </si>
  <si>
    <t>1. 面料名称： 21W全棉灯芯绒  2. 版型：标准型 3. 工艺： 4. 颜色： 白色调00411、绿色调00444 5. 辅料：小巴绣花章 6. 设计：撞色翻领、袖口翻折格纹、工装口袋</t>
  </si>
  <si>
    <t>C</t>
  </si>
  <si>
    <t>1-AI-云店</t>
  </si>
  <si>
    <t>20260716</t>
  </si>
  <si>
    <t>20032610510400411</t>
  </si>
  <si>
    <t>白色调00411</t>
  </si>
  <si>
    <t>00411</t>
  </si>
  <si>
    <t>200326105107</t>
  </si>
  <si>
    <t>326FB-BZ-504</t>
  </si>
  <si>
    <t>20032610510700344</t>
  </si>
  <si>
    <t>针织便服</t>
  </si>
  <si>
    <t>绿色调00344</t>
  </si>
  <si>
    <t>00344</t>
  </si>
  <si>
    <t>265g棉魔法纱卫衣印趣味植物</t>
  </si>
  <si>
    <t>1.面料：265g棉魔法纱卫衣印趣味植物
2.功能：基础舒适，透气亲肤
3.版型：标准版型
4.工艺：无
5.颜色：绿色调00344
6.设计：造型针织便服，艺术手绘线条花边，造型门襟，充棉章</t>
  </si>
  <si>
    <t>200326105003</t>
  </si>
  <si>
    <t>326FB-GS-502</t>
  </si>
  <si>
    <t>20032610500300316</t>
  </si>
  <si>
    <t>女</t>
  </si>
  <si>
    <t>白红色调00316</t>
  </si>
  <si>
    <t>涤纶四面弹印手绘植物彩烟花</t>
  </si>
  <si>
    <t>1.面料：涤纶四面弹印手绘植物彩烟花
2.功能：四面弹力，舒适灵活
3.版型：标准版型
4.工艺：无
5.颜色：白红色调00316
6.设计：简约休闲，适合日常穿着</t>
  </si>
  <si>
    <t>2026秋季全部商品；便服；女婴童</t>
  </si>
  <si>
    <t>女婴</t>
  </si>
  <si>
    <t>20260709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</si>
</sst>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7804]#,##0.0"/>
    <numFmt numFmtId="177" formatCode="yyyy/m/d;@"/>
    <numFmt numFmtId="178" formatCode="_ * #,##0_ ;_ * \-#,##0_ ;_ * &quot;-&quot;??_ ;_ @_ "/>
    <numFmt numFmtId="179" formatCode="[$-7804]#,##0"/>
    <numFmt numFmtId="180" formatCode="0_ "/>
    <numFmt numFmtId="181" formatCode="0.0_ "/>
    <numFmt numFmtId="182" formatCode="0_);[Red]\(0\)"/>
    <numFmt numFmtId="183" formatCode="m&quot;月&quot;d&quot;日&quot;;@"/>
    <numFmt numFmtId="184" formatCode="0.00_);[Red]\(0.00\)"/>
    <numFmt numFmtId="185" formatCode="0&quot;.&quot;0,&quot;万&quot;"/>
  </numFmts>
  <fonts count="38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indexed="2"/>
      <name val="微软雅黑"/>
      <charset val="134"/>
    </font>
    <font>
      <b/>
      <sz val="10"/>
      <color rgb="FFFF0000"/>
      <name val="微软雅黑"/>
      <charset val="134"/>
    </font>
    <font>
      <b/>
      <sz val="9"/>
      <color theme="1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9"/>
      <name val="Tahoma"/>
      <charset val="134"/>
    </font>
    <font>
      <b/>
      <sz val="9"/>
      <name val="Tahoma"/>
      <charset val="134"/>
    </font>
  </fonts>
  <fills count="49">
    <fill>
      <patternFill patternType="none"/>
    </fill>
    <fill>
      <patternFill patternType="gray125"/>
    </fill>
    <fill>
      <patternFill patternType="solid">
        <fgColor indexed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6" tint="0.3966490676595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0.396649067659536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554429761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41862239448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theme="4" tint="0.799737540818506"/>
        <bgColor theme="4" tint="0.79973754081850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731437116611"/>
      </bottom>
      <diagonal/>
    </border>
    <border>
      <left/>
      <right/>
      <top style="thin">
        <color theme="4" tint="0.3997314371166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2" borderId="13" applyNumberFormat="0" applyAlignment="0" applyProtection="0">
      <alignment vertical="center"/>
    </xf>
    <xf numFmtId="0" fontId="24" fillId="23" borderId="14" applyNumberFormat="0" applyAlignment="0" applyProtection="0">
      <alignment vertical="center"/>
    </xf>
    <xf numFmtId="0" fontId="25" fillId="23" borderId="13" applyNumberFormat="0" applyAlignment="0" applyProtection="0">
      <alignment vertical="center"/>
    </xf>
    <xf numFmtId="0" fontId="26" fillId="24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4" fillId="0" borderId="0"/>
    <xf numFmtId="0" fontId="35" fillId="0" borderId="0"/>
    <xf numFmtId="0" fontId="0" fillId="0" borderId="0"/>
    <xf numFmtId="176" fontId="0" fillId="0" borderId="0">
      <alignment vertical="center"/>
    </xf>
    <xf numFmtId="176" fontId="0" fillId="0" borderId="0"/>
    <xf numFmtId="0" fontId="0" fillId="0" borderId="0">
      <alignment vertical="center"/>
    </xf>
    <xf numFmtId="176" fontId="0" fillId="0" borderId="0"/>
  </cellStyleXfs>
  <cellXfs count="152">
    <xf numFmtId="0" fontId="0" fillId="0" borderId="0" xfId="0">
      <alignment vertical="center"/>
    </xf>
    <xf numFmtId="0" fontId="1" fillId="0" borderId="0" xfId="51" applyFont="1" applyAlignment="1">
      <alignment horizontal="center" vertical="center" wrapText="1"/>
    </xf>
    <xf numFmtId="0" fontId="2" fillId="0" borderId="0" xfId="51" applyFont="1" applyAlignment="1">
      <alignment wrapText="1"/>
    </xf>
    <xf numFmtId="0" fontId="3" fillId="2" borderId="1" xfId="51" applyFont="1" applyFill="1" applyBorder="1" applyAlignment="1">
      <alignment horizontal="left" vertical="center" wrapText="1" shrinkToFit="1"/>
    </xf>
    <xf numFmtId="0" fontId="2" fillId="0" borderId="0" xfId="51" applyFont="1" applyAlignment="1">
      <alignment horizontal="left" vertical="center" wrapText="1"/>
    </xf>
    <xf numFmtId="0" fontId="2" fillId="0" borderId="0" xfId="51" applyFont="1" applyAlignment="1">
      <alignment horizontal="center" vertical="center" wrapText="1"/>
    </xf>
    <xf numFmtId="177" fontId="1" fillId="0" borderId="0" xfId="51" applyNumberFormat="1" applyFont="1" applyAlignment="1">
      <alignment horizontal="center" vertical="center" wrapText="1"/>
    </xf>
    <xf numFmtId="49" fontId="1" fillId="0" borderId="0" xfId="51" applyNumberFormat="1" applyFont="1" applyAlignment="1">
      <alignment horizontal="center" vertical="center" wrapText="1"/>
    </xf>
    <xf numFmtId="177" fontId="2" fillId="0" borderId="0" xfId="51" applyNumberFormat="1" applyFont="1" applyAlignment="1">
      <alignment horizontal="center" vertical="center" wrapText="1"/>
    </xf>
    <xf numFmtId="0" fontId="1" fillId="0" borderId="0" xfId="51" applyFont="1" applyFill="1" applyAlignment="1">
      <alignment horizontal="center" vertical="center" wrapText="1"/>
    </xf>
    <xf numFmtId="178" fontId="1" fillId="0" borderId="0" xfId="51" applyNumberFormat="1" applyFont="1" applyAlignment="1">
      <alignment horizontal="center" vertical="center" wrapText="1"/>
    </xf>
    <xf numFmtId="0" fontId="1" fillId="2" borderId="2" xfId="51" applyFont="1" applyFill="1" applyBorder="1" applyAlignment="1">
      <alignment horizontal="center" vertical="center" wrapText="1" shrinkToFit="1"/>
    </xf>
    <xf numFmtId="0" fontId="1" fillId="2" borderId="2" xfId="51" applyFont="1" applyFill="1" applyBorder="1" applyAlignment="1">
      <alignment horizontal="left" vertical="center" wrapText="1" shrinkToFit="1"/>
    </xf>
    <xf numFmtId="0" fontId="1" fillId="3" borderId="2" xfId="51" applyFont="1" applyFill="1" applyBorder="1" applyAlignment="1">
      <alignment horizontal="center" vertical="center" wrapText="1" shrinkToFit="1"/>
    </xf>
    <xf numFmtId="177" fontId="1" fillId="3" borderId="2" xfId="51" applyNumberFormat="1" applyFont="1" applyFill="1" applyBorder="1" applyAlignment="1">
      <alignment horizontal="center" vertical="center" wrapText="1" shrinkToFit="1"/>
    </xf>
    <xf numFmtId="0" fontId="2" fillId="4" borderId="2" xfId="51" applyFont="1" applyFill="1" applyBorder="1" applyAlignment="1">
      <alignment horizontal="center" vertical="center" wrapText="1" shrinkToFit="1"/>
    </xf>
    <xf numFmtId="177" fontId="1" fillId="4" borderId="2" xfId="51" applyNumberFormat="1" applyFont="1" applyFill="1" applyBorder="1" applyAlignment="1">
      <alignment horizontal="center" vertical="center" wrapText="1" shrinkToFit="1"/>
    </xf>
    <xf numFmtId="49" fontId="1" fillId="4" borderId="2" xfId="51" applyNumberFormat="1" applyFont="1" applyFill="1" applyBorder="1" applyAlignment="1">
      <alignment horizontal="center" vertical="center" wrapText="1" shrinkToFit="1"/>
    </xf>
    <xf numFmtId="0" fontId="1" fillId="4" borderId="2" xfId="51" applyFont="1" applyFill="1" applyBorder="1" applyAlignment="1">
      <alignment horizontal="center" vertical="center" wrapText="1" shrinkToFit="1"/>
    </xf>
    <xf numFmtId="9" fontId="1" fillId="4" borderId="2" xfId="3" applyFont="1" applyFill="1" applyBorder="1" applyAlignment="1">
      <alignment vertical="center" wrapText="1"/>
    </xf>
    <xf numFmtId="0" fontId="3" fillId="4" borderId="2" xfId="51" applyFont="1" applyFill="1" applyBorder="1" applyAlignment="1">
      <alignment horizontal="center" vertical="center" wrapText="1" shrinkToFit="1"/>
    </xf>
    <xf numFmtId="49" fontId="4" fillId="2" borderId="2" xfId="51" applyNumberFormat="1" applyFont="1" applyFill="1" applyBorder="1" applyAlignment="1">
      <alignment horizontal="center" vertical="center" wrapText="1" shrinkToFit="1"/>
    </xf>
    <xf numFmtId="49" fontId="1" fillId="5" borderId="2" xfId="51" applyNumberFormat="1" applyFont="1" applyFill="1" applyBorder="1" applyAlignment="1">
      <alignment horizontal="center" vertical="center" wrapText="1" shrinkToFit="1"/>
    </xf>
    <xf numFmtId="177" fontId="1" fillId="5" borderId="2" xfId="51" applyNumberFormat="1" applyFont="1" applyFill="1" applyBorder="1" applyAlignment="1">
      <alignment horizontal="center" vertical="center" wrapText="1" shrinkToFit="1"/>
    </xf>
    <xf numFmtId="0" fontId="4" fillId="5" borderId="2" xfId="51" applyFont="1" applyFill="1" applyBorder="1" applyAlignment="1">
      <alignment horizontal="center" vertical="center" wrapText="1" shrinkToFit="1"/>
    </xf>
    <xf numFmtId="9" fontId="4" fillId="5" borderId="2" xfId="3" applyFont="1" applyFill="1" applyBorder="1" applyAlignment="1">
      <alignment horizontal="center" vertical="center" wrapText="1" shrinkToFit="1"/>
    </xf>
    <xf numFmtId="0" fontId="4" fillId="5" borderId="2" xfId="3" applyNumberFormat="1" applyFont="1" applyFill="1" applyBorder="1" applyAlignment="1">
      <alignment horizontal="center" vertical="center" wrapText="1" shrinkToFit="1"/>
    </xf>
    <xf numFmtId="176" fontId="4" fillId="5" borderId="2" xfId="51" applyNumberFormat="1" applyFont="1" applyFill="1" applyBorder="1" applyAlignment="1">
      <alignment horizontal="center" vertical="center" wrapText="1" shrinkToFit="1"/>
    </xf>
    <xf numFmtId="176" fontId="4" fillId="5" borderId="3" xfId="51" applyNumberFormat="1" applyFont="1" applyFill="1" applyBorder="1" applyAlignment="1">
      <alignment horizontal="center" vertical="center" wrapText="1" shrinkToFit="1"/>
    </xf>
    <xf numFmtId="176" fontId="4" fillId="5" borderId="4" xfId="51" applyNumberFormat="1" applyFont="1" applyFill="1" applyBorder="1" applyAlignment="1">
      <alignment horizontal="center" vertical="center" wrapText="1" shrinkToFit="1"/>
    </xf>
    <xf numFmtId="176" fontId="4" fillId="5" borderId="5" xfId="51" applyNumberFormat="1" applyFont="1" applyFill="1" applyBorder="1" applyAlignment="1">
      <alignment horizontal="center" vertical="center" wrapText="1" shrinkToFit="1"/>
    </xf>
    <xf numFmtId="176" fontId="1" fillId="6" borderId="2" xfId="51" applyNumberFormat="1" applyFont="1" applyFill="1" applyBorder="1" applyAlignment="1">
      <alignment horizontal="center" vertical="center" wrapText="1" shrinkToFit="1"/>
    </xf>
    <xf numFmtId="176" fontId="3" fillId="7" borderId="2" xfId="51" applyNumberFormat="1" applyFont="1" applyFill="1" applyBorder="1" applyAlignment="1">
      <alignment horizontal="center" vertical="center" wrapText="1" shrinkToFit="1"/>
    </xf>
    <xf numFmtId="179" fontId="3" fillId="7" borderId="2" xfId="51" applyNumberFormat="1" applyFont="1" applyFill="1" applyBorder="1" applyAlignment="1">
      <alignment horizontal="center" vertical="center" wrapText="1" shrinkToFit="1"/>
    </xf>
    <xf numFmtId="0" fontId="3" fillId="7" borderId="2" xfId="51" applyFont="1" applyFill="1" applyBorder="1" applyAlignment="1">
      <alignment horizontal="center" vertical="center" wrapText="1" shrinkToFit="1"/>
    </xf>
    <xf numFmtId="14" fontId="1" fillId="8" borderId="2" xfId="51" applyNumberFormat="1" applyFont="1" applyFill="1" applyBorder="1" applyAlignment="1">
      <alignment horizontal="center" vertical="center" wrapText="1" shrinkToFit="1"/>
    </xf>
    <xf numFmtId="176" fontId="1" fillId="8" borderId="2" xfId="51" applyNumberFormat="1" applyFont="1" applyFill="1" applyBorder="1" applyAlignment="1">
      <alignment horizontal="center" vertical="center" wrapText="1" shrinkToFit="1"/>
    </xf>
    <xf numFmtId="180" fontId="1" fillId="8" borderId="2" xfId="1" applyNumberFormat="1" applyFont="1" applyFill="1" applyBorder="1" applyAlignment="1">
      <alignment horizontal="center" vertical="center" wrapText="1" shrinkToFit="1"/>
    </xf>
    <xf numFmtId="1" fontId="1" fillId="8" borderId="2" xfId="1" applyNumberFormat="1" applyFont="1" applyFill="1" applyBorder="1" applyAlignment="1">
      <alignment horizontal="center" vertical="center" wrapText="1" shrinkToFit="1"/>
    </xf>
    <xf numFmtId="0" fontId="1" fillId="8" borderId="2" xfId="51" applyFont="1" applyFill="1" applyBorder="1" applyAlignment="1">
      <alignment horizontal="center" vertical="center" wrapText="1" shrinkToFit="1"/>
    </xf>
    <xf numFmtId="181" fontId="1" fillId="8" borderId="2" xfId="1" applyNumberFormat="1" applyFont="1" applyFill="1" applyBorder="1" applyAlignment="1">
      <alignment horizontal="center" vertical="center" wrapText="1" shrinkToFit="1"/>
    </xf>
    <xf numFmtId="182" fontId="1" fillId="8" borderId="2" xfId="51" applyNumberFormat="1" applyFont="1" applyFill="1" applyBorder="1" applyAlignment="1">
      <alignment horizontal="center" vertical="center" wrapText="1" shrinkToFit="1"/>
    </xf>
    <xf numFmtId="180" fontId="1" fillId="9" borderId="2" xfId="1" applyNumberFormat="1" applyFont="1" applyFill="1" applyBorder="1" applyAlignment="1">
      <alignment horizontal="center" vertical="center" wrapText="1" shrinkToFit="1"/>
    </xf>
    <xf numFmtId="0" fontId="4" fillId="9" borderId="2" xfId="51" applyFont="1" applyFill="1" applyBorder="1" applyAlignment="1">
      <alignment horizontal="center" vertical="center" wrapText="1"/>
    </xf>
    <xf numFmtId="178" fontId="4" fillId="9" borderId="2" xfId="51" applyNumberFormat="1" applyFont="1" applyFill="1" applyBorder="1" applyAlignment="1">
      <alignment horizontal="center" vertical="center" wrapText="1"/>
    </xf>
    <xf numFmtId="0" fontId="3" fillId="2" borderId="1" xfId="51" applyFont="1" applyFill="1" applyBorder="1" applyAlignment="1">
      <alignment horizontal="center" vertical="center" wrapText="1" shrinkToFit="1"/>
    </xf>
    <xf numFmtId="0" fontId="3" fillId="10" borderId="1" xfId="51" applyFont="1" applyFill="1" applyBorder="1" applyAlignment="1">
      <alignment horizontal="center" vertical="center" wrapText="1" shrinkToFit="1"/>
    </xf>
    <xf numFmtId="0" fontId="3" fillId="11" borderId="1" xfId="51" applyFont="1" applyFill="1" applyBorder="1" applyAlignment="1">
      <alignment horizontal="center" vertical="center" wrapText="1" shrinkToFit="1"/>
    </xf>
    <xf numFmtId="0" fontId="4" fillId="12" borderId="1" xfId="51" applyFont="1" applyFill="1" applyBorder="1" applyAlignment="1">
      <alignment horizontal="center" vertical="center" wrapText="1" shrinkToFit="1"/>
    </xf>
    <xf numFmtId="0" fontId="1" fillId="3" borderId="1" xfId="51" applyFont="1" applyFill="1" applyBorder="1" applyAlignment="1">
      <alignment horizontal="center" vertical="center" wrapText="1" shrinkToFit="1"/>
    </xf>
    <xf numFmtId="0" fontId="5" fillId="3" borderId="1" xfId="51" applyFont="1" applyFill="1" applyBorder="1" applyAlignment="1">
      <alignment horizontal="center" vertical="center" wrapText="1" shrinkToFit="1"/>
    </xf>
    <xf numFmtId="177" fontId="5" fillId="3" borderId="1" xfId="51" applyNumberFormat="1" applyFont="1" applyFill="1" applyBorder="1" applyAlignment="1">
      <alignment horizontal="center" vertical="center" wrapText="1" shrinkToFit="1"/>
    </xf>
    <xf numFmtId="49" fontId="2" fillId="4" borderId="1" xfId="51" applyNumberFormat="1" applyFont="1" applyFill="1" applyBorder="1" applyAlignment="1">
      <alignment horizontal="center" vertical="center" wrapText="1" shrinkToFit="1"/>
    </xf>
    <xf numFmtId="177" fontId="1" fillId="4" borderId="1" xfId="51" applyNumberFormat="1" applyFont="1" applyFill="1" applyBorder="1" applyAlignment="1">
      <alignment horizontal="center" vertical="center" wrapText="1" shrinkToFit="1"/>
    </xf>
    <xf numFmtId="49" fontId="1" fillId="4" borderId="1" xfId="51" applyNumberFormat="1" applyFont="1" applyFill="1" applyBorder="1" applyAlignment="1">
      <alignment horizontal="center" vertical="center" wrapText="1" shrinkToFit="1"/>
    </xf>
    <xf numFmtId="0" fontId="1" fillId="4" borderId="1" xfId="51" applyFont="1" applyFill="1" applyBorder="1" applyAlignment="1">
      <alignment horizontal="center" vertical="center" wrapText="1" shrinkToFit="1"/>
    </xf>
    <xf numFmtId="176" fontId="1" fillId="4" borderId="1" xfId="51" applyNumberFormat="1" applyFont="1" applyFill="1" applyBorder="1" applyAlignment="1">
      <alignment horizontal="center" vertical="center" wrapText="1" shrinkToFit="1"/>
    </xf>
    <xf numFmtId="0" fontId="3" fillId="4" borderId="1" xfId="51" applyFont="1" applyFill="1" applyBorder="1" applyAlignment="1">
      <alignment horizontal="center" vertical="center" wrapText="1" shrinkToFit="1"/>
    </xf>
    <xf numFmtId="49" fontId="3" fillId="4" borderId="1" xfId="51" applyNumberFormat="1" applyFont="1" applyFill="1" applyBorder="1" applyAlignment="1">
      <alignment horizontal="center" vertical="center" wrapText="1" shrinkToFit="1"/>
    </xf>
    <xf numFmtId="0" fontId="5" fillId="9" borderId="1" xfId="51" applyFont="1" applyFill="1" applyBorder="1" applyAlignment="1">
      <alignment horizontal="center" vertical="center" wrapText="1" shrinkToFit="1"/>
    </xf>
    <xf numFmtId="49" fontId="4" fillId="2" borderId="1" xfId="51" applyNumberFormat="1" applyFont="1" applyFill="1" applyBorder="1" applyAlignment="1">
      <alignment horizontal="center" vertical="center" wrapText="1" shrinkToFit="1"/>
    </xf>
    <xf numFmtId="49" fontId="5" fillId="2" borderId="1" xfId="51" applyNumberFormat="1" applyFont="1" applyFill="1" applyBorder="1" applyAlignment="1">
      <alignment horizontal="center" vertical="center" wrapText="1" shrinkToFit="1"/>
    </xf>
    <xf numFmtId="0" fontId="5" fillId="2" borderId="1" xfId="51" applyFont="1" applyFill="1" applyBorder="1" applyAlignment="1">
      <alignment horizontal="center" vertical="center" wrapText="1" shrinkToFit="1"/>
    </xf>
    <xf numFmtId="49" fontId="4" fillId="4" borderId="1" xfId="51" applyNumberFormat="1" applyFont="1" applyFill="1" applyBorder="1" applyAlignment="1">
      <alignment horizontal="center" vertical="center" wrapText="1" shrinkToFit="1"/>
    </xf>
    <xf numFmtId="1" fontId="1" fillId="4" borderId="1" xfId="51" applyNumberFormat="1" applyFont="1" applyFill="1" applyBorder="1" applyAlignment="1">
      <alignment horizontal="center" vertical="center" wrapText="1" shrinkToFit="1"/>
    </xf>
    <xf numFmtId="49" fontId="1" fillId="5" borderId="1" xfId="51" applyNumberFormat="1" applyFont="1" applyFill="1" applyBorder="1" applyAlignment="1">
      <alignment horizontal="center" vertical="center" wrapText="1" shrinkToFit="1"/>
    </xf>
    <xf numFmtId="177" fontId="1" fillId="5" borderId="1" xfId="51" applyNumberFormat="1" applyFont="1" applyFill="1" applyBorder="1" applyAlignment="1">
      <alignment horizontal="center" vertical="center" wrapText="1" shrinkToFit="1"/>
    </xf>
    <xf numFmtId="0" fontId="4" fillId="5" borderId="1" xfId="3" applyNumberFormat="1" applyFont="1" applyFill="1" applyBorder="1" applyAlignment="1">
      <alignment horizontal="center" vertical="center" wrapText="1" shrinkToFit="1"/>
    </xf>
    <xf numFmtId="9" fontId="4" fillId="5" borderId="1" xfId="3" applyFont="1" applyFill="1" applyBorder="1" applyAlignment="1">
      <alignment horizontal="center" vertical="center" wrapText="1" shrinkToFit="1"/>
    </xf>
    <xf numFmtId="0" fontId="4" fillId="5" borderId="1" xfId="51" applyFont="1" applyFill="1" applyBorder="1" applyAlignment="1">
      <alignment horizontal="center" vertical="center" wrapText="1" shrinkToFit="1"/>
    </xf>
    <xf numFmtId="176" fontId="4" fillId="9" borderId="1" xfId="51" applyNumberFormat="1" applyFont="1" applyFill="1" applyBorder="1" applyAlignment="1">
      <alignment horizontal="center" vertical="center" wrapText="1" shrinkToFit="1"/>
    </xf>
    <xf numFmtId="176" fontId="4" fillId="5" borderId="1" xfId="51" applyNumberFormat="1" applyFont="1" applyFill="1" applyBorder="1" applyAlignment="1">
      <alignment horizontal="center" vertical="center" wrapText="1" shrinkToFit="1"/>
    </xf>
    <xf numFmtId="0" fontId="6" fillId="13" borderId="1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/>
    </xf>
    <xf numFmtId="0" fontId="0" fillId="13" borderId="0" xfId="0" applyFont="1" applyFill="1" applyBorder="1" applyAlignment="1">
      <alignment horizontal="center" vertical="center"/>
    </xf>
    <xf numFmtId="0" fontId="1" fillId="6" borderId="1" xfId="51" applyFont="1" applyFill="1" applyBorder="1" applyAlignment="1">
      <alignment horizontal="center" vertical="center" wrapText="1" shrinkToFit="1"/>
    </xf>
    <xf numFmtId="0" fontId="1" fillId="9" borderId="1" xfId="51" applyFont="1" applyFill="1" applyBorder="1" applyAlignment="1">
      <alignment horizontal="center" vertical="center" wrapText="1" shrinkToFit="1"/>
    </xf>
    <xf numFmtId="49" fontId="3" fillId="7" borderId="1" xfId="51" applyNumberFormat="1" applyFont="1" applyFill="1" applyBorder="1" applyAlignment="1">
      <alignment horizontal="center" vertical="center" wrapText="1" shrinkToFit="1"/>
    </xf>
    <xf numFmtId="49" fontId="3" fillId="14" borderId="1" xfId="51" applyNumberFormat="1" applyFont="1" applyFill="1" applyBorder="1" applyAlignment="1">
      <alignment horizontal="center" vertical="center" wrapText="1" shrinkToFit="1"/>
    </xf>
    <xf numFmtId="49" fontId="3" fillId="3" borderId="1" xfId="51" applyNumberFormat="1" applyFont="1" applyFill="1" applyBorder="1" applyAlignment="1">
      <alignment horizontal="center" vertical="center" wrapText="1" shrinkToFit="1"/>
    </xf>
    <xf numFmtId="0" fontId="3" fillId="3" borderId="1" xfId="51" applyFont="1" applyFill="1" applyBorder="1" applyAlignment="1">
      <alignment horizontal="center" vertical="center" wrapText="1" shrinkToFit="1"/>
    </xf>
    <xf numFmtId="176" fontId="3" fillId="7" borderId="1" xfId="51" applyNumberFormat="1" applyFont="1" applyFill="1" applyBorder="1" applyAlignment="1">
      <alignment horizontal="center" vertical="center" wrapText="1" shrinkToFit="1"/>
    </xf>
    <xf numFmtId="14" fontId="1" fillId="8" borderId="1" xfId="51" applyNumberFormat="1" applyFont="1" applyFill="1" applyBorder="1" applyAlignment="1">
      <alignment horizontal="center" vertical="center" wrapText="1" shrinkToFit="1"/>
    </xf>
    <xf numFmtId="183" fontId="1" fillId="8" borderId="1" xfId="51" applyNumberFormat="1" applyFont="1" applyFill="1" applyBorder="1" applyAlignment="1">
      <alignment horizontal="center" vertical="center" wrapText="1" shrinkToFit="1"/>
    </xf>
    <xf numFmtId="0" fontId="1" fillId="8" borderId="1" xfId="1" applyNumberFormat="1" applyFont="1" applyFill="1" applyBorder="1" applyAlignment="1">
      <alignment horizontal="center" vertical="center" wrapText="1" shrinkToFit="1"/>
    </xf>
    <xf numFmtId="1" fontId="1" fillId="8" borderId="1" xfId="1" applyNumberFormat="1" applyFont="1" applyFill="1" applyBorder="1" applyAlignment="1">
      <alignment horizontal="center" vertical="center" wrapText="1" shrinkToFit="1"/>
    </xf>
    <xf numFmtId="0" fontId="1" fillId="8" borderId="1" xfId="51" applyFont="1" applyFill="1" applyBorder="1" applyAlignment="1">
      <alignment horizontal="center" vertical="center" wrapText="1" shrinkToFit="1"/>
    </xf>
    <xf numFmtId="49" fontId="1" fillId="8" borderId="1" xfId="51" applyNumberFormat="1" applyFont="1" applyFill="1" applyBorder="1" applyAlignment="1">
      <alignment horizontal="center" vertical="center" wrapText="1" shrinkToFit="1"/>
    </xf>
    <xf numFmtId="49" fontId="3" fillId="8" borderId="1" xfId="51" applyNumberFormat="1" applyFont="1" applyFill="1" applyBorder="1" applyAlignment="1">
      <alignment horizontal="center" vertical="center" wrapText="1" shrinkToFit="1"/>
    </xf>
    <xf numFmtId="176" fontId="3" fillId="8" borderId="1" xfId="51" applyNumberFormat="1" applyFont="1" applyFill="1" applyBorder="1" applyAlignment="1">
      <alignment horizontal="center" vertical="center" wrapText="1" shrinkToFit="1"/>
    </xf>
    <xf numFmtId="0" fontId="1" fillId="2" borderId="1" xfId="51" applyFont="1" applyFill="1" applyBorder="1" applyAlignment="1">
      <alignment horizontal="center" vertical="center" wrapText="1" shrinkToFit="1"/>
    </xf>
    <xf numFmtId="178" fontId="1" fillId="2" borderId="1" xfId="51" applyNumberFormat="1" applyFont="1" applyFill="1" applyBorder="1" applyAlignment="1">
      <alignment horizontal="center" vertical="center" wrapText="1" shrinkToFit="1"/>
    </xf>
    <xf numFmtId="0" fontId="2" fillId="0" borderId="1" xfId="51" applyFont="1" applyBorder="1" applyAlignment="1">
      <alignment horizontal="center" vertical="center" wrapText="1"/>
    </xf>
    <xf numFmtId="0" fontId="2" fillId="0" borderId="1" xfId="51" applyFont="1" applyBorder="1" applyAlignment="1">
      <alignment horizontal="left" vertical="center" wrapText="1"/>
    </xf>
    <xf numFmtId="177" fontId="2" fillId="0" borderId="1" xfId="5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7" fontId="2" fillId="0" borderId="1" xfId="51" applyNumberFormat="1" applyFont="1" applyFill="1" applyBorder="1" applyAlignment="1">
      <alignment horizontal="center" vertical="center" wrapText="1"/>
    </xf>
    <xf numFmtId="0" fontId="2" fillId="0" borderId="1" xfId="51" applyFont="1" applyBorder="1" applyAlignment="1">
      <alignment wrapText="1"/>
    </xf>
    <xf numFmtId="0" fontId="2" fillId="15" borderId="1" xfId="51" applyFont="1" applyFill="1" applyBorder="1" applyAlignment="1">
      <alignment horizontal="center" vertical="center" wrapText="1"/>
    </xf>
    <xf numFmtId="1" fontId="2" fillId="0" borderId="1" xfId="51" applyNumberFormat="1" applyFont="1" applyBorder="1" applyAlignment="1">
      <alignment horizontal="center" vertical="center" wrapText="1"/>
    </xf>
    <xf numFmtId="0" fontId="1" fillId="0" borderId="1" xfId="51" applyFont="1" applyBorder="1" applyAlignment="1">
      <alignment horizontal="center" vertical="center" wrapText="1"/>
    </xf>
    <xf numFmtId="177" fontId="1" fillId="0" borderId="1" xfId="51" applyNumberFormat="1" applyFont="1" applyBorder="1" applyAlignment="1">
      <alignment horizontal="center" vertical="center" wrapText="1"/>
    </xf>
    <xf numFmtId="184" fontId="1" fillId="0" borderId="1" xfId="51" applyNumberFormat="1" applyFont="1" applyBorder="1" applyAlignment="1">
      <alignment horizontal="center" vertical="center" wrapText="1"/>
    </xf>
    <xf numFmtId="49" fontId="1" fillId="0" borderId="1" xfId="51" applyNumberFormat="1" applyFont="1" applyBorder="1" applyAlignment="1">
      <alignment horizontal="center" vertical="center" wrapText="1"/>
    </xf>
    <xf numFmtId="182" fontId="1" fillId="0" borderId="0" xfId="51" applyNumberFormat="1" applyFont="1" applyAlignment="1">
      <alignment horizontal="center" vertical="center" wrapText="1"/>
    </xf>
    <xf numFmtId="181" fontId="1" fillId="8" borderId="1" xfId="1" applyNumberFormat="1" applyFont="1" applyFill="1" applyBorder="1" applyAlignment="1">
      <alignment horizontal="center" vertical="center" wrapText="1" shrinkToFit="1"/>
    </xf>
    <xf numFmtId="181" fontId="1" fillId="8" borderId="0" xfId="1" applyNumberFormat="1" applyFont="1" applyFill="1" applyAlignment="1">
      <alignment horizontal="center" vertical="center" wrapText="1" shrinkToFit="1"/>
    </xf>
    <xf numFmtId="185" fontId="1" fillId="0" borderId="0" xfId="51" applyNumberFormat="1" applyFont="1" applyAlignment="1">
      <alignment horizontal="center" vertical="center" wrapText="1"/>
    </xf>
    <xf numFmtId="0" fontId="1" fillId="9" borderId="1" xfId="51" applyFont="1" applyFill="1" applyBorder="1" applyAlignment="1">
      <alignment horizontal="center" vertical="center" wrapText="1"/>
    </xf>
    <xf numFmtId="0" fontId="1" fillId="2" borderId="3" xfId="51" applyFont="1" applyFill="1" applyBorder="1" applyAlignment="1">
      <alignment horizontal="center" vertical="center" wrapText="1" shrinkToFit="1"/>
    </xf>
    <xf numFmtId="177" fontId="1" fillId="3" borderId="1" xfId="51" applyNumberFormat="1" applyFont="1" applyFill="1" applyBorder="1" applyAlignment="1">
      <alignment horizontal="center" vertical="center" wrapText="1" shrinkToFit="1"/>
    </xf>
    <xf numFmtId="0" fontId="2" fillId="4" borderId="1" xfId="51" applyFont="1" applyFill="1" applyBorder="1" applyAlignment="1">
      <alignment horizontal="center" vertical="center" wrapText="1" shrinkToFit="1"/>
    </xf>
    <xf numFmtId="9" fontId="1" fillId="4" borderId="1" xfId="3" applyFont="1" applyFill="1" applyBorder="1" applyAlignment="1">
      <alignment vertical="center" wrapText="1"/>
    </xf>
    <xf numFmtId="184" fontId="1" fillId="4" borderId="1" xfId="51" applyNumberFormat="1" applyFont="1" applyFill="1" applyBorder="1" applyAlignment="1">
      <alignment horizontal="center" vertical="center" wrapText="1" shrinkToFit="1"/>
    </xf>
    <xf numFmtId="49" fontId="1" fillId="9" borderId="1" xfId="51" applyNumberFormat="1" applyFont="1" applyFill="1" applyBorder="1" applyAlignment="1">
      <alignment horizontal="center" vertical="center" wrapText="1" shrinkToFit="1"/>
    </xf>
    <xf numFmtId="177" fontId="1" fillId="5" borderId="5" xfId="51" applyNumberFormat="1" applyFont="1" applyFill="1" applyBorder="1" applyAlignment="1">
      <alignment horizontal="center" vertical="center" wrapText="1" shrinkToFit="1"/>
    </xf>
    <xf numFmtId="176" fontId="3" fillId="7" borderId="3" xfId="51" applyNumberFormat="1" applyFont="1" applyFill="1" applyBorder="1" applyAlignment="1">
      <alignment horizontal="center" vertical="center" wrapText="1" shrinkToFit="1"/>
    </xf>
    <xf numFmtId="179" fontId="3" fillId="7" borderId="5" xfId="51" applyNumberFormat="1" applyFont="1" applyFill="1" applyBorder="1" applyAlignment="1">
      <alignment horizontal="center" vertical="center" wrapText="1" shrinkToFit="1"/>
    </xf>
    <xf numFmtId="180" fontId="1" fillId="8" borderId="1" xfId="1" applyNumberFormat="1" applyFont="1" applyFill="1" applyBorder="1" applyAlignment="1">
      <alignment horizontal="center" vertical="center" wrapText="1" shrinkToFit="1"/>
    </xf>
    <xf numFmtId="182" fontId="1" fillId="16" borderId="2" xfId="1" applyNumberFormat="1" applyFont="1" applyFill="1" applyBorder="1" applyAlignment="1">
      <alignment horizontal="center" vertical="center" wrapText="1" shrinkToFit="1"/>
    </xf>
    <xf numFmtId="181" fontId="1" fillId="16" borderId="2" xfId="1" applyNumberFormat="1" applyFont="1" applyFill="1" applyBorder="1" applyAlignment="1">
      <alignment horizontal="center" vertical="center" wrapText="1" shrinkToFit="1"/>
    </xf>
    <xf numFmtId="0" fontId="1" fillId="17" borderId="2" xfId="51" applyFont="1" applyFill="1" applyBorder="1" applyAlignment="1">
      <alignment horizontal="center" vertical="center" wrapText="1"/>
    </xf>
    <xf numFmtId="0" fontId="1" fillId="18" borderId="2" xfId="51" applyFont="1" applyFill="1" applyBorder="1" applyAlignment="1">
      <alignment horizontal="center" vertical="center" wrapText="1"/>
    </xf>
    <xf numFmtId="184" fontId="5" fillId="2" borderId="1" xfId="51" applyNumberFormat="1" applyFont="1" applyFill="1" applyBorder="1" applyAlignment="1">
      <alignment horizontal="center" vertical="center" wrapText="1" shrinkToFit="1"/>
    </xf>
    <xf numFmtId="49" fontId="3" fillId="7" borderId="6" xfId="51" applyNumberFormat="1" applyFont="1" applyFill="1" applyBorder="1" applyAlignment="1">
      <alignment horizontal="center" vertical="center" wrapText="1" shrinkToFit="1"/>
    </xf>
    <xf numFmtId="49" fontId="3" fillId="3" borderId="7" xfId="51" applyNumberFormat="1" applyFont="1" applyFill="1" applyBorder="1" applyAlignment="1">
      <alignment horizontal="center" vertical="center" wrapText="1" shrinkToFit="1"/>
    </xf>
    <xf numFmtId="182" fontId="1" fillId="16" borderId="1" xfId="51" applyNumberFormat="1" applyFont="1" applyFill="1" applyBorder="1" applyAlignment="1">
      <alignment horizontal="center" vertical="center" wrapText="1" shrinkToFit="1"/>
    </xf>
    <xf numFmtId="0" fontId="1" fillId="16" borderId="1" xfId="51" applyFont="1" applyFill="1" applyBorder="1" applyAlignment="1">
      <alignment horizontal="center" vertical="center" wrapText="1" shrinkToFit="1"/>
    </xf>
    <xf numFmtId="58" fontId="1" fillId="16" borderId="1" xfId="51" applyNumberFormat="1" applyFont="1" applyFill="1" applyBorder="1" applyAlignment="1">
      <alignment horizontal="center" vertical="center" wrapText="1" shrinkToFit="1"/>
    </xf>
    <xf numFmtId="0" fontId="1" fillId="17" borderId="1" xfId="51" applyFont="1" applyFill="1" applyBorder="1" applyAlignment="1">
      <alignment horizontal="center" vertical="center" wrapText="1"/>
    </xf>
    <xf numFmtId="0" fontId="1" fillId="18" borderId="1" xfId="51" applyFont="1" applyFill="1" applyBorder="1" applyAlignment="1">
      <alignment horizontal="center" vertical="center" wrapText="1"/>
    </xf>
    <xf numFmtId="0" fontId="1" fillId="0" borderId="7" xfId="51" applyFont="1" applyBorder="1" applyAlignment="1">
      <alignment horizontal="center" vertical="center" wrapText="1"/>
    </xf>
    <xf numFmtId="0" fontId="3" fillId="19" borderId="0" xfId="0" applyNumberFormat="1" applyFont="1" applyFill="1" applyAlignment="1">
      <alignment horizontal="center" vertical="center" wrapText="1"/>
    </xf>
    <xf numFmtId="49" fontId="2" fillId="0" borderId="1" xfId="51" applyNumberFormat="1" applyFont="1" applyBorder="1" applyAlignment="1">
      <alignment horizontal="center" vertical="center" wrapText="1"/>
    </xf>
    <xf numFmtId="184" fontId="2" fillId="0" borderId="1" xfId="51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51" applyFont="1" applyBorder="1" applyAlignment="1">
      <alignment horizontal="center" vertical="center" wrapText="1"/>
    </xf>
    <xf numFmtId="182" fontId="2" fillId="0" borderId="1" xfId="51" applyNumberFormat="1" applyFont="1" applyBorder="1" applyAlignment="1">
      <alignment horizontal="center" vertical="center" wrapText="1"/>
    </xf>
    <xf numFmtId="0" fontId="2" fillId="0" borderId="7" xfId="51" applyFont="1" applyBorder="1" applyAlignment="1">
      <alignment wrapText="1"/>
    </xf>
    <xf numFmtId="0" fontId="0" fillId="0" borderId="1" xfId="0" applyBorder="1">
      <alignment vertical="center"/>
    </xf>
    <xf numFmtId="0" fontId="11" fillId="0" borderId="1" xfId="0" applyFont="1" applyFill="1" applyBorder="1" applyAlignment="1">
      <alignment vertical="center"/>
    </xf>
    <xf numFmtId="0" fontId="2" fillId="9" borderId="1" xfId="51" applyFont="1" applyFill="1" applyBorder="1" applyAlignment="1">
      <alignment horizontal="center" vertical="center" wrapText="1"/>
    </xf>
    <xf numFmtId="0" fontId="12" fillId="20" borderId="8" xfId="0" applyFont="1" applyFill="1" applyBorder="1">
      <alignment vertical="center"/>
    </xf>
    <xf numFmtId="0" fontId="13" fillId="0" borderId="0" xfId="0" applyFont="1">
      <alignment vertical="center"/>
    </xf>
    <xf numFmtId="0" fontId="13" fillId="0" borderId="8" xfId="0" applyFont="1" applyBorder="1">
      <alignment vertical="center"/>
    </xf>
    <xf numFmtId="0" fontId="12" fillId="20" borderId="9" xfId="0" applyFont="1" applyFill="1" applyBorder="1">
      <alignment vertical="center"/>
    </xf>
    <xf numFmtId="0" fontId="14" fillId="20" borderId="8" xfId="0" applyFont="1" applyFill="1" applyBorder="1">
      <alignment vertical="center"/>
    </xf>
    <xf numFmtId="0" fontId="0" fillId="0" borderId="8" xfId="0" applyBorder="1">
      <alignment vertical="center"/>
    </xf>
    <xf numFmtId="0" fontId="14" fillId="20" borderId="9" xfId="0" applyFont="1" applyFill="1" applyBorder="1">
      <alignment vertical="center"/>
    </xf>
    <xf numFmtId="0" fontId="2" fillId="0" borderId="1" xfId="51" applyFont="1" applyBorder="1" applyAlignment="1" quotePrefix="1">
      <alignment horizontal="center" vertical="center" wrapText="1"/>
    </xf>
    <xf numFmtId="0" fontId="2" fillId="9" borderId="1" xfId="5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17" xfId="50"/>
    <cellStyle name="常规 2" xfId="51"/>
    <cellStyle name="常规 2 6 2" xfId="52"/>
    <cellStyle name="常规 3" xfId="53"/>
    <cellStyle name="常规 5" xfId="54"/>
    <cellStyle name="常规 6 2" xfId="55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2.jpeg"/><Relationship Id="rId4" Type="http://schemas.openxmlformats.org/officeDocument/2006/relationships/image" Target="../media/image11.jpeg"/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27</xdr:col>
      <xdr:colOff>199390</xdr:colOff>
      <xdr:row>3</xdr:row>
      <xdr:rowOff>83185</xdr:rowOff>
    </xdr:from>
    <xdr:to>
      <xdr:col>27</xdr:col>
      <xdr:colOff>567055</xdr:colOff>
      <xdr:row>3</xdr:row>
      <xdr:rowOff>492760</xdr:rowOff>
    </xdr:to>
    <xdr:pic>
      <xdr:nvPicPr>
        <xdr:cNvPr id="2" name="ID_C4410C09FCB647948E9E0E0C0E16B4A7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17079595" y="1248410"/>
          <a:ext cx="367665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149860</xdr:colOff>
      <xdr:row>4</xdr:row>
      <xdr:rowOff>58420</xdr:rowOff>
    </xdr:from>
    <xdr:to>
      <xdr:col>27</xdr:col>
      <xdr:colOff>616585</xdr:colOff>
      <xdr:row>4</xdr:row>
      <xdr:rowOff>518160</xdr:rowOff>
    </xdr:to>
    <xdr:pic>
      <xdr:nvPicPr>
        <xdr:cNvPr id="3" name="ID_4530F1C21A184E17853A79B3D97CEA04"/>
        <xdr:cNvPicPr>
          <a:picLocks noChangeAspect="1"/>
        </xdr:cNvPicPr>
      </xdr:nvPicPr>
      <xdr:blipFill>
        <a:blip r:embed="rId2" cstate="email"/>
        <a:stretch>
          <a:fillRect/>
        </a:stretch>
      </xdr:blipFill>
      <xdr:spPr>
        <a:xfrm>
          <a:off x="17030065" y="1795145"/>
          <a:ext cx="459740" cy="45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163830</xdr:colOff>
      <xdr:row>5</xdr:row>
      <xdr:rowOff>64135</xdr:rowOff>
    </xdr:from>
    <xdr:to>
      <xdr:col>27</xdr:col>
      <xdr:colOff>602615</xdr:colOff>
      <xdr:row>5</xdr:row>
      <xdr:rowOff>512445</xdr:rowOff>
    </xdr:to>
    <xdr:pic>
      <xdr:nvPicPr>
        <xdr:cNvPr id="4" name="ID_BF563F0EDE7B429FB38B13EC3E9015F9"/>
        <xdr:cNvPicPr>
          <a:picLocks noChangeAspect="1"/>
        </xdr:cNvPicPr>
      </xdr:nvPicPr>
      <xdr:blipFill>
        <a:blip r:embed="rId3" cstate="email"/>
        <a:stretch>
          <a:fillRect/>
        </a:stretch>
      </xdr:blipFill>
      <xdr:spPr>
        <a:xfrm>
          <a:off x="17044035" y="2372360"/>
          <a:ext cx="438785" cy="448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151765</xdr:colOff>
      <xdr:row>6</xdr:row>
      <xdr:rowOff>60325</xdr:rowOff>
    </xdr:from>
    <xdr:to>
      <xdr:col>27</xdr:col>
      <xdr:colOff>614680</xdr:colOff>
      <xdr:row>6</xdr:row>
      <xdr:rowOff>516255</xdr:rowOff>
    </xdr:to>
    <xdr:pic>
      <xdr:nvPicPr>
        <xdr:cNvPr id="5" name="ID_47C368E67E224E59B57DF3A60F379826"/>
        <xdr:cNvPicPr>
          <a:picLocks noChangeAspect="1"/>
        </xdr:cNvPicPr>
      </xdr:nvPicPr>
      <xdr:blipFill>
        <a:blip r:embed="rId4" cstate="email"/>
        <a:stretch>
          <a:fillRect/>
        </a:stretch>
      </xdr:blipFill>
      <xdr:spPr>
        <a:xfrm>
          <a:off x="17031970" y="2940050"/>
          <a:ext cx="457835" cy="455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128270</xdr:colOff>
      <xdr:row>9</xdr:row>
      <xdr:rowOff>60325</xdr:rowOff>
    </xdr:from>
    <xdr:to>
      <xdr:col>27</xdr:col>
      <xdr:colOff>739775</xdr:colOff>
      <xdr:row>9</xdr:row>
      <xdr:rowOff>548005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008475" y="4654550"/>
          <a:ext cx="481330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102235</xdr:colOff>
      <xdr:row>7</xdr:row>
      <xdr:rowOff>59690</xdr:rowOff>
    </xdr:from>
    <xdr:to>
      <xdr:col>27</xdr:col>
      <xdr:colOff>633730</xdr:colOff>
      <xdr:row>7</xdr:row>
      <xdr:rowOff>556260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982440" y="3510915"/>
          <a:ext cx="507365" cy="496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102235</xdr:colOff>
      <xdr:row>8</xdr:row>
      <xdr:rowOff>47625</xdr:rowOff>
    </xdr:from>
    <xdr:to>
      <xdr:col>27</xdr:col>
      <xdr:colOff>621665</xdr:colOff>
      <xdr:row>9</xdr:row>
      <xdr:rowOff>5080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982440" y="4070350"/>
          <a:ext cx="507365" cy="528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27</xdr:col>
      <xdr:colOff>20955</xdr:colOff>
      <xdr:row>7</xdr:row>
      <xdr:rowOff>34290</xdr:rowOff>
    </xdr:from>
    <xdr:to>
      <xdr:col>27</xdr:col>
      <xdr:colOff>560705</xdr:colOff>
      <xdr:row>7</xdr:row>
      <xdr:rowOff>545465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28160" y="4073525"/>
          <a:ext cx="539750" cy="511175"/>
        </a:xfrm>
        <a:prstGeom prst="rect">
          <a:avLst/>
        </a:prstGeom>
      </xdr:spPr>
    </xdr:pic>
    <xdr:clientData/>
  </xdr:twoCellAnchor>
  <xdr:twoCellAnchor>
    <xdr:from>
      <xdr:col>27</xdr:col>
      <xdr:colOff>20955</xdr:colOff>
      <xdr:row>6</xdr:row>
      <xdr:rowOff>43180</xdr:rowOff>
    </xdr:from>
    <xdr:to>
      <xdr:col>27</xdr:col>
      <xdr:colOff>560705</xdr:colOff>
      <xdr:row>6</xdr:row>
      <xdr:rowOff>554355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28160" y="3384550"/>
          <a:ext cx="539750" cy="511175"/>
        </a:xfrm>
        <a:prstGeom prst="rect">
          <a:avLst/>
        </a:prstGeom>
      </xdr:spPr>
    </xdr:pic>
    <xdr:clientData/>
  </xdr:twoCellAnchor>
  <xdr:twoCellAnchor>
    <xdr:from>
      <xdr:col>27</xdr:col>
      <xdr:colOff>20955</xdr:colOff>
      <xdr:row>4</xdr:row>
      <xdr:rowOff>31750</xdr:rowOff>
    </xdr:from>
    <xdr:to>
      <xdr:col>27</xdr:col>
      <xdr:colOff>560705</xdr:colOff>
      <xdr:row>4</xdr:row>
      <xdr:rowOff>542925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028160" y="1977390"/>
          <a:ext cx="539750" cy="511175"/>
        </a:xfrm>
        <a:prstGeom prst="rect">
          <a:avLst/>
        </a:prstGeom>
      </xdr:spPr>
    </xdr:pic>
    <xdr:clientData/>
  </xdr:twoCellAnchor>
  <xdr:twoCellAnchor>
    <xdr:from>
      <xdr:col>27</xdr:col>
      <xdr:colOff>20955</xdr:colOff>
      <xdr:row>5</xdr:row>
      <xdr:rowOff>43180</xdr:rowOff>
    </xdr:from>
    <xdr:to>
      <xdr:col>27</xdr:col>
      <xdr:colOff>560705</xdr:colOff>
      <xdr:row>5</xdr:row>
      <xdr:rowOff>561975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028160" y="2686685"/>
          <a:ext cx="539750" cy="518795"/>
        </a:xfrm>
        <a:prstGeom prst="rect">
          <a:avLst/>
        </a:prstGeom>
      </xdr:spPr>
    </xdr:pic>
    <xdr:clientData/>
  </xdr:twoCellAnchor>
  <xdr:twoCellAnchor>
    <xdr:from>
      <xdr:col>27</xdr:col>
      <xdr:colOff>20955</xdr:colOff>
      <xdr:row>3</xdr:row>
      <xdr:rowOff>31750</xdr:rowOff>
    </xdr:from>
    <xdr:to>
      <xdr:col>27</xdr:col>
      <xdr:colOff>560705</xdr:colOff>
      <xdr:row>3</xdr:row>
      <xdr:rowOff>542925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028160" y="1279525"/>
          <a:ext cx="539750" cy="5111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0.7874189815" refreshedBy="shaowenhui" recordCount="1215">
  <cacheSource type="worksheet">
    <worksheetSource name="#NAME?"/>
  </cacheSource>
  <cacheFields count="17">
    <cacheField name="企划对接人" numFmtId="0">
      <sharedItems count="6">
        <s v="魏艳珍"/>
        <s v="梅雨霖"/>
        <s v="林荫"/>
        <s v="何卫彬"/>
        <s v="张磊"/>
        <s v="邵文慧"/>
      </sharedItems>
    </cacheField>
    <cacheField name="新增/取消" numFmtId="177">
      <sharedItems containsBlank="1" containsDate="1" containsMixedTypes="1" count="21">
        <d v="2025-11-13T00:00:00"/>
        <d v="2025-12-24T00:00:00"/>
        <d v="2026-01-07T00:00:00"/>
        <d v="2026-01-27T00:00:00"/>
        <d v="2026-01-20T00:00:00"/>
        <s v="已提样"/>
        <s v="取消"/>
        <d v="2025-12-22T00:00:00"/>
        <d v="2026-02-10T00:00:00"/>
        <d v="2025-12-23T00:00:00"/>
        <d v="2026-02-25T00:00:00"/>
        <d v="2025-12-08T00:00:00"/>
        <d v="2025-12-02T00:00:00"/>
        <d v="2025-12-31T00:00:00"/>
        <d v="2026-01-30T00:00:00"/>
        <d v="2026-01-29T00:00:00"/>
        <d v="2026-01-28T00:00:00"/>
        <d v="2026-03-05T00:00:00"/>
        <m/>
        <d v="2026-03-09T00:00:00"/>
        <d v="2026-03-18T00:00:00"/>
      </sharedItems>
    </cacheField>
    <cacheField name="下单批次" numFmtId="0">
      <sharedItems containsBlank="1" count="20">
        <s v="11.13新增"/>
        <s v="326测试批次"/>
        <s v="326一订下单"/>
        <s v="326改款下单"/>
        <s v="426提前单-1"/>
        <s v="426测试批次"/>
        <s v="已下单-跟着226订单"/>
        <s v="取消"/>
        <s v="426提前单12/25"/>
        <s v="426测款后提前单2.5"/>
        <s v="426测款后下单"/>
        <s v="426-小红书"/>
        <s v="已下单-已同步226上市计划表"/>
        <s v="426提前单-1.29"/>
        <s v="426提前单"/>
        <s v="426改款提前单"/>
        <s v="426提前单-1.30"/>
        <s v="3/5新增"/>
        <m/>
        <s v="3月下单"/>
      </sharedItems>
    </cacheField>
    <cacheField name="下单日期" numFmtId="0">
      <sharedItems containsBlank="1" containsDate="1" containsMixedTypes="1" count="22">
        <d v="2025-11-14T00:00:00"/>
        <d v="2025-12-08T00:00:00"/>
        <d v="2025-12-19T00:00:00"/>
        <d v="2026-01-06T00:00:00"/>
        <d v="2025-12-26T00:00:00"/>
        <d v="2026-01-19T00:00:00"/>
        <m/>
        <d v="2026-01-26T00:00:00"/>
        <d v="2025-12-05T00:00:00"/>
        <s v="取消"/>
        <d v="2026-12-25T00:00:00"/>
        <d v="2026-02-05T00:00:00"/>
        <d v="2025-12-23T00:00:00"/>
        <d v="2025-11-20T00:00:00"/>
        <d v="2025-12-31T00:00:00"/>
        <d v="2026-01-23T00:00:00"/>
        <d v="2026-01-29T00:00:00"/>
        <d v="2026-01-30T00:00:00"/>
        <d v="2025-12-25T00:00:00"/>
        <d v="2026-03-05T00:00:00"/>
        <d v="2026-03-06T00:00:00"/>
        <d v="2026-03-13T00:00:00"/>
      </sharedItems>
    </cacheField>
    <cacheField name="产品季" numFmtId="0">
      <sharedItems containsNumber="1" containsInteger="1" containsMixedTypes="1" count="7">
        <s v="326"/>
        <s v="926"/>
        <s v="426"/>
        <s v="226"/>
        <n v="426"/>
        <n v="326"/>
        <n v="926"/>
      </sharedItems>
    </cacheField>
    <cacheField name="大货款号" numFmtId="0">
      <sharedItems count="410">
        <s v="209326133201"/>
        <s v="208926171001"/>
        <s v="208326169201"/>
        <s v="208326169101"/>
        <s v="208326169002"/>
        <s v="208326169001"/>
        <s v="208326169102"/>
        <s v="208326169003"/>
        <s v="208926195004"/>
        <s v="208326108209"/>
        <s v="208326100202"/>
        <s v="208326100203"/>
        <s v="208326100020"/>
        <s v="208326105106"/>
        <s v="208326105007"/>
        <s v="208326102102"/>
        <s v="208326108101"/>
        <s v="208326108102"/>
        <s v="208326100101"/>
        <s v="208326100102"/>
        <s v="208326100103"/>
        <s v="208326121101"/>
        <s v="208326103006"/>
        <s v="208326108010"/>
        <s v="208326104005"/>
        <s v="208326100013"/>
        <s v="208326100015"/>
        <s v="208326100017"/>
        <s v="208326100018"/>
        <s v="208326100019"/>
        <s v="208326111001"/>
        <s v="208326105005"/>
        <s v="208326123001"/>
        <s v="208326123002"/>
        <s v="208326108012"/>
        <s v="208326100204"/>
        <s v="208326103201"/>
        <s v="208326103211"/>
        <s v="208326108201"/>
        <s v="208326108202"/>
        <s v="208326105208"/>
        <s v="208326105209"/>
        <s v="208326108207"/>
        <s v="208326108208"/>
        <s v="208326108210"/>
        <s v="208326104203"/>
        <s v="208326104204"/>
        <s v="208326100206"/>
        <s v="208326100207"/>
        <s v="208326105203"/>
        <s v="208326108203"/>
        <s v="208326108204"/>
        <s v="208326108205"/>
        <s v="208326104006"/>
        <s v="208326120204"/>
        <s v="208326134201"/>
        <s v="208326181201"/>
        <s v="208326156201"/>
        <s v="208326101202"/>
        <s v="208326101203"/>
        <s v="208326133201"/>
        <s v="208326133202"/>
        <s v="208326133203"/>
        <s v="208326133204"/>
        <s v="208326133205"/>
        <s v="208326133206"/>
        <s v="208326133207"/>
        <s v="208326137201"/>
        <s v="208326120205"/>
        <s v="208326120201"/>
        <s v="208326120202"/>
        <s v="208326120203"/>
        <s v="208326120207"/>
        <s v="208326134202"/>
        <s v="208326134203"/>
        <s v="208326156202"/>
        <s v="208326120208"/>
        <s v="208326133208"/>
        <s v="208326133209"/>
        <s v="208326181299"/>
        <s v="208326181298"/>
        <s v="208326181297"/>
        <s v="208326181296"/>
        <s v="208326105004"/>
        <s v="208326105001"/>
        <s v="208326123003"/>
        <s v="208326103004"/>
        <s v="208326104004"/>
        <s v="208326104002"/>
        <s v="208326104001"/>
        <s v="208326121001"/>
        <s v="208326108013"/>
        <s v="208326108008"/>
        <s v="208326108005"/>
        <s v="208326108004"/>
        <s v="208326108003"/>
        <s v="208326108002"/>
        <s v="208326100003"/>
        <s v="208326100002"/>
        <s v="208326100001"/>
        <s v="208326100008"/>
        <s v="208326100007"/>
        <s v="208326100006"/>
        <s v="208326100004"/>
        <s v="208326102002"/>
        <s v="208326102001"/>
        <s v="209426108001"/>
        <s v="208326103005"/>
        <s v="208326103002"/>
        <s v="208326108009"/>
        <s v="208326108007"/>
        <s v="208326105211"/>
        <s v="208326105212"/>
        <s v="208326105104"/>
        <s v="208326105102"/>
        <s v="208326105105"/>
        <s v="208326105103"/>
        <s v="208326103207"/>
        <s v="208326103208"/>
        <s v="208326103209"/>
        <s v="208326103210"/>
        <s v="208326104208"/>
        <s v="208326104209"/>
        <s v="208326104210"/>
        <s v="208326121202"/>
        <s v="208326121203"/>
        <s v="208326108211"/>
        <s v="208326108212"/>
        <s v="208326108103"/>
        <s v="208326108104"/>
        <s v="208326108105"/>
        <s v="208326100213"/>
        <s v="208326100214"/>
        <s v="208326100104"/>
        <s v="208326100105"/>
        <s v="208326100211"/>
        <s v="208326100212"/>
        <s v="208326100106"/>
        <s v="208326100108"/>
        <s v="208326100107"/>
        <s v="208326102202"/>
        <s v="208326102203"/>
        <s v="208326102204"/>
        <s v="208326102103"/>
        <s v="208426103202"/>
        <s v="208426103203"/>
        <s v="209426107202"/>
        <s v="209426107207"/>
        <s v="209426107201"/>
        <s v="208426107204"/>
        <s v="209426107206"/>
        <s v="208426107202"/>
        <s v="208426107201"/>
        <s v="208426107210"/>
        <s v="208426107203"/>
        <s v="209426107203"/>
        <s v="208426107211"/>
        <s v="209426108201"/>
        <s v="209426108202"/>
        <s v="208326146203"/>
        <s v="208326146005"/>
        <s v="208326146208"/>
        <s v="208326146210"/>
        <s v="208326141205"/>
        <s v="208326141206"/>
        <s v="208326141019"/>
        <s v="208326141008"/>
        <s v="208326141010"/>
        <s v="208326140204"/>
        <s v="208326140206"/>
        <s v="208326140207"/>
        <s v="208326140008"/>
        <s v="208326140011"/>
        <s v="208426107205"/>
        <s v="208426107207"/>
        <s v="208426107206"/>
        <s v="208426105201"/>
        <s v="208426105202"/>
        <s v="208426101202"/>
        <s v="208426101201"/>
        <s v="208426108201"/>
        <s v="208426107208"/>
        <s v="208426120201"/>
        <s v="208426120207"/>
        <s v="208426105203"/>
        <s v="209426120201"/>
        <s v="208426107001"/>
        <s v="208426169001"/>
        <s v="209426169101"/>
        <s v="208426169202"/>
        <s v="209426169201"/>
        <s v="209326169201"/>
        <s v="208326171003"/>
        <s v="208326171201"/>
        <s v="209426171201"/>
        <s v="208426171201"/>
        <s v="209926171203"/>
        <s v="208326171002"/>
        <s v="208326171001"/>
        <s v="209926169006"/>
        <s v="208926169101"/>
        <s v="208926169201"/>
        <s v="208326169005"/>
        <s v="208326169103"/>
        <s v="209926169104"/>
        <s v="208926170007"/>
        <s v="208926170107"/>
        <s v="208926170005"/>
        <s v="208926170106"/>
        <s v="209926172230"/>
        <s v="209926172231"/>
        <s v="208926172103"/>
        <s v="209926172004"/>
        <s v="209926172105"/>
        <s v="209926172032"/>
        <s v="208926172207"/>
        <s v="209926172208"/>
        <s v="209926172209"/>
        <s v="209926172210"/>
        <s v="208326172213"/>
        <s v="209326172214"/>
        <s v="208326172215"/>
        <s v="208326108213"/>
        <s v="208326105219"/>
        <s v="208326100217"/>
        <s v="208326100218"/>
        <s v="208326100216"/>
        <s v="208326121204"/>
        <s v="208326121205"/>
        <s v="208326104211"/>
        <s v="208326108216"/>
        <s v="208326108215"/>
        <s v="208326108217"/>
        <s v="208326105218"/>
        <s v="208326105201"/>
        <s v="208326105217"/>
        <s v="208326108015"/>
        <s v="208326105008"/>
        <s v="208326105009"/>
        <s v="208326108214"/>
        <s v="208326105107"/>
        <s v="209426107204"/>
        <s v="208426107215"/>
        <s v="208426107209"/>
        <s v="208426107216"/>
        <s v="208426106201"/>
        <s v="208426106202"/>
        <s v="208426105206"/>
        <s v="208326102105"/>
        <s v="208226102202"/>
        <s v="208426101204"/>
        <s v="208426120202"/>
        <s v="208426134201"/>
        <s v="208426120204"/>
        <s v="208426133202"/>
        <s v="208426120205"/>
        <s v="208426120206"/>
        <s v="208426120203"/>
        <s v="208426133201"/>
        <s v="208426106204"/>
        <s v="209426171202"/>
        <s v="209426169001"/>
        <s v="209426169102"/>
        <s v="209426169202"/>
        <s v="208426171202"/>
        <s v="208326169009"/>
        <s v="208326169008"/>
        <s v="208326169007"/>
        <s v="208326171005"/>
        <s v="208326171004"/>
        <s v="208326171102"/>
        <s v="208326171101"/>
        <s v="208326169209"/>
        <s v="208326169208"/>
        <s v="208326169207"/>
        <s v="208326169206"/>
        <s v="208326169205"/>
        <s v="208326169203"/>
        <s v="208326169202"/>
        <s v="208326169006"/>
        <s v="208326169004"/>
        <s v="209926171202"/>
        <s v="209926169007"/>
        <s v="209926170120"/>
        <s v="209926170119"/>
        <s v="209926170022"/>
        <s v="209926169008"/>
        <s v="209926169005"/>
        <s v="208926170006"/>
        <s v="208926170009"/>
        <s v="208926170008"/>
        <s v="209926170118"/>
        <s v="208926170108"/>
        <s v="208226171006"/>
        <s v="208326172211"/>
        <s v="208326108218"/>
        <s v="208326108106"/>
        <s v="208426105204"/>
        <s v="208426105205"/>
        <s v="209426108203"/>
        <s v="208426107226"/>
        <s v="208426107217"/>
        <s v="208426107227"/>
        <s v="208426107218"/>
        <s v="208426101207"/>
        <s v="208426101208"/>
        <s v="208326102205"/>
        <s v="208326102004"/>
        <s v="208326105006"/>
        <s v="208326100014"/>
        <s v="208326100016"/>
        <s v="208326108011"/>
        <s v="208326103202"/>
        <s v="208326103203"/>
        <s v="208326103204"/>
        <s v="208326103205"/>
        <s v="208326101201"/>
        <s v="208326102201"/>
        <s v="208326104207"/>
        <s v="208326105206"/>
        <s v="208326105207"/>
        <s v="208326105210"/>
        <s v="208326104201"/>
        <s v="208326104202"/>
        <s v="208326104205"/>
        <s v="208326104206"/>
        <s v="208326100208"/>
        <s v="208326100209"/>
        <s v="208326105202"/>
        <s v="208326105204"/>
        <s v="208326105205"/>
        <s v="208326108206"/>
        <s v="208326105214"/>
        <s v="208326100022"/>
        <s v="208326100021"/>
        <s v="208326103008"/>
        <s v="208326103007"/>
        <s v="208326112001"/>
        <s v="208326108014"/>
        <s v="208326111004"/>
        <s v="208326104008"/>
        <s v="208326104009"/>
        <s v="208326111003"/>
        <s v="208326104007"/>
        <s v="208926166212"/>
        <s v="208926166213"/>
        <s v="208926166003"/>
        <s v="208926166214"/>
        <s v="208926166215"/>
        <s v="208926166216"/>
        <s v="208926160208"/>
        <s v="208326160201"/>
        <s v="208326160202"/>
        <s v="208926160209"/>
        <s v="208326160203"/>
        <s v="208926179204"/>
        <s v="208926179205"/>
        <s v="208326146201"/>
        <s v="208326146202"/>
        <s v="208326146204"/>
        <s v="208326146206"/>
        <s v="208326146207"/>
        <s v="208326146209"/>
        <s v="208326141001"/>
        <s v="208326141002"/>
        <s v="208326141011"/>
        <s v="208326140201"/>
        <s v="208326140202"/>
        <s v="208326140003"/>
        <s v="208326140009"/>
        <s v="208326140010"/>
        <s v="208326145010"/>
        <s v="208426107212"/>
        <s v="208426107213"/>
        <s v="208426107214"/>
        <s v="208426107220"/>
        <s v="208426107221"/>
        <s v="208426107002"/>
        <s v="208426107101"/>
        <s v="208426106203"/>
        <s v="208426101206"/>
        <s v="208426101205"/>
        <s v="208426101203"/>
        <s v="208426103204"/>
        <s v="208426103001"/>
        <s v="208426103201"/>
        <s v="208426103002"/>
        <s v="208426100202"/>
        <s v="208426100203"/>
        <s v="208426100201"/>
        <s v="208426100001"/>
        <s v="208426108205"/>
        <s v="208426108202"/>
        <s v="208426108203"/>
        <s v="208426108204"/>
        <s v="208426123201"/>
        <s v="208426107219"/>
        <s v="208426107224"/>
        <s v="208426107222"/>
        <s v="208426107223"/>
        <s v="208426107225"/>
        <s v="208426107004"/>
        <s v="208426107003"/>
        <s v="208326105215"/>
        <s v="209426107208"/>
        <s v="208326105216"/>
        <s v="208326149201"/>
        <s v="208326100215"/>
        <s v="208326123004"/>
        <s v="207926174020"/>
      </sharedItems>
    </cacheField>
    <cacheField name="版单号/" numFmtId="0">
      <sharedItems count="409">
        <s v="326VDB-UZ-704B"/>
        <s v="926DHY-GZ-001"/>
        <s v="326DHY-UZ-108"/>
        <s v="326DHZ-BZ-102"/>
        <s v="326DHY-GZ-102"/>
        <s v="326DHY-GZ-101"/>
        <s v="326DHZ-BZ-103"/>
        <s v="326DHZ-GZ-103"/>
        <s v="926DHZ-GH-418"/>
        <s v="326DY-US-804"/>
        <s v="326DY-UZ-106"/>
        <s v="326DY-UZ-109"/>
        <s v="326DY-GZ-111"/>
        <s v="326DY-BN-501"/>
        <s v="326DY-GN-501"/>
        <s v="326DY-BS-202"/>
        <s v="326DY-BS-801"/>
        <s v="326DY-BS-801B"/>
        <s v="326DY-BUZ-103B"/>
        <s v="326DY-BZ-103"/>
        <s v="326DY-BZ-104"/>
        <s v="326DY-BZ-106"/>
        <s v="326DY-GM-101"/>
        <s v="326DY-GN-801"/>
        <s v="326DY-GZ-002"/>
        <s v="326DY-GZ-102"/>
        <s v="326DY-GZ-104"/>
        <s v="326DY-GZ-107"/>
        <s v="326DY-GZ-108"/>
        <s v="326DY-GZ-109"/>
        <s v="326DY-GZ-301"/>
        <s v="326DY-GZ-501"/>
        <s v="326DY-GZ-802"/>
        <s v="326DY-GZ-803"/>
        <s v="326DY-GZ-805"/>
        <s v="326DY-UBZ-101"/>
        <s v="326DY-UM-101"/>
        <s v="326DY-UM-105"/>
        <s v="326DY-UN-801"/>
        <s v="326DY-UN-801B"/>
        <s v="326DY-US-504"/>
        <s v="326DY-US-505"/>
        <s v="326DY-US-801"/>
        <s v="326DY-US-802"/>
        <s v="326DY-US-805"/>
        <s v="326DY-UZ-003"/>
        <s v="326DY-UZ-004"/>
        <s v="326DY-UZ-107"/>
        <s v="326DY-UZ-108"/>
        <s v="326DY-UZ-503"/>
        <s v="326DY-UZ-801"/>
        <s v="326DY-UZ-802"/>
        <s v="326DY-UZ-802B"/>
        <s v="326VFY-GZ-005"/>
        <s v="326DB-UM-701"/>
        <s v="326DB-UZ-001"/>
        <s v="326DB-UZ-103"/>
        <s v="326DB-UZ-401"/>
        <s v="326DB-UZ-402"/>
        <s v="326DB-UZ-403"/>
        <s v="326DB-UZ-701"/>
        <s v="326DB-UZ-702"/>
        <s v="326DB-UZ-703"/>
        <s v="326DB-UZ-704"/>
        <s v="326DB-UZ-705"/>
        <s v="326DB-UZ-706"/>
        <s v="326DB-UZ-707"/>
        <s v="326DB-UZ-708"/>
        <s v="326DB-UZ-711B"/>
        <s v="326DB-UZ-712"/>
        <s v="326DB-UZ-712B"/>
        <s v="326DB-UZ-714"/>
        <s v="326VDB-US-701"/>
        <s v="326VDB-UZ-003"/>
        <s v="326VDB-UZ-004"/>
        <s v="326VDB-UZ-401"/>
        <s v="326VDB-UZ-702"/>
        <s v="326VDB-UZ-704"/>
        <s v="326VDB-UZ-707"/>
        <s v="326DB-UZ-199"/>
        <s v="326DB-UZ-198"/>
        <s v="326DB-UZ-197"/>
        <s v="326DB-UZ-196"/>
        <s v="326DZ-GZ-501"/>
        <s v="326DZ-GN-501"/>
        <s v="326DZ-GZ-807"/>
        <s v="326DZ-GM-105"/>
        <s v="326DZ-GZ-002"/>
        <s v="326DZ-GZ-001"/>
        <s v="326DZ-GM-001"/>
        <s v="326DZ-GZ-114"/>
        <s v="326DZ-GZ-806"/>
        <s v="326DZ-GZ-804"/>
        <s v="326DZ-GN-805"/>
        <s v="326DZ-GN-804"/>
        <s v="326DZ-GN-803B"/>
        <s v="326DZ-GN-803"/>
        <s v="326DZ-GZ-107"/>
        <s v="326DZ-GZ-106"/>
        <s v="326DZ-GZ-105"/>
        <s v="326DZ-GZ-110B"/>
        <s v="326DZ-GZ-110"/>
        <s v="326DZ-GZ-109"/>
        <s v="326DZ-GZ-108"/>
        <s v="326DZ-GS-202"/>
        <s v="326DZ-GN-201"/>
        <s v="426VDSZ-GZ-801"/>
        <s v="326DZ-GM-106"/>
        <s v="326DZ-GM-103B"/>
        <s v="326DZ-GZ-805"/>
        <s v="326DZ-GS-802B"/>
        <s v="326DZ-UZ-501B"/>
        <s v="326DZ-UZ-502B"/>
        <s v="326DZ-BS-503B"/>
        <s v="326DZ-BS-501"/>
        <s v="326DZ-BN-501"/>
        <s v="326DZ-BS-502"/>
        <s v="326DZ-UM-102"/>
        <s v="326DZ-UM-101"/>
        <s v="326DZ-UM-103"/>
        <s v="326DZ-UM-104"/>
        <s v="326DZ-UZ-003B"/>
        <s v="326DZ-UZ-002"/>
        <s v="326DZ-UZ-001"/>
        <s v="326DZ-UZ-101C"/>
        <s v="326DZ-UZ-101B"/>
        <s v="326DZ-UZ-801B"/>
        <s v="326DZ-US-801"/>
        <s v="326DZ-BS-802"/>
        <s v="326DZ-BN-802"/>
        <s v="326DZ-BN-801"/>
        <s v="326DZ-UZ-103"/>
        <s v="326DZ-UZ-102"/>
        <s v="326DZ-BZ-102"/>
        <s v="326DZ-BZ-102B"/>
        <s v="326DZ-UZ-106"/>
        <s v="326DZ-UZ-105"/>
        <s v="326DZ-BZ-104"/>
        <s v="326DZ-BZ-104B"/>
        <s v="326DZ-BZ-103"/>
        <s v="326DZ-US-209"/>
        <s v="326DZ-US-201"/>
        <s v="326DZ-US-208"/>
        <s v="326DZ-BN-201"/>
        <s v="426DZ-UM-101"/>
        <s v="426DZ-UM-102"/>
        <s v="426VFZ-US-907"/>
        <s v="426VFZ-US-907B"/>
        <s v="426VFZ-US-905"/>
        <s v="426DZ-US-906"/>
        <s v="426VDZ-US-901"/>
        <s v="426DZ-US-904"/>
        <s v="426DZ-US-902"/>
        <s v="426DZ-US-901"/>
        <s v="426DZ-US-905"/>
        <s v="426VFZ-US-912"/>
        <s v="426DZ-US-907"/>
        <s v="426VDZ-UZ-804"/>
        <s v="426VDY-UZ-805"/>
        <s v="DS326-XTT003"/>
        <s v="DS326-XTT005"/>
        <s v="DS326-SJ003"/>
        <s v="DS326-HZJ002"/>
        <s v="DS326-HRODM4"/>
        <s v="225-BCODM-3_x000a_(已下单 信息勿改动)"/>
        <s v="DS326-WH222"/>
        <s v="DS326-WH224"/>
        <s v="DS326-WS009"/>
        <s v="DS326-WS011"/>
        <s v="DS326-WS012"/>
        <s v="DS326-YTT001"/>
        <s v="DS326-YTT003"/>
        <s v="426VDB-US-901"/>
        <s v="426VDB-US-903"/>
        <s v="426VDB-US-902"/>
        <s v="426VDB-UZ-501"/>
        <s v="426VDB-UZ-502"/>
        <s v="426VDB-UZ-402"/>
        <s v="426VDB-US-401"/>
        <s v="426DY-US-804"/>
        <s v="426DZ-US-909"/>
        <s v="426DB-US-703"/>
        <s v="426VDB-US-703"/>
        <s v="426DB-UZ-501"/>
        <s v="426VDB-UZ-701"/>
        <s v="426DZ-GS-901"/>
        <s v="426DHY-GZ-101"/>
        <s v="426DHZ-BZ-101"/>
        <s v="426DHZ-UZ-103"/>
        <s v="426DHZ-UZ-102"/>
        <s v="326DHZ-UZ-102"/>
        <s v="326DHY-GZ-004"/>
        <s v="326DHY-UZ-002"/>
        <s v="426VDHY-UZ-003"/>
        <s v="426DHY-UZ-002"/>
        <s v="926VDHZ-UZ-001"/>
        <s v="326DHY-GZ-003"/>
        <s v="326DHY-GZ-002"/>
        <s v="926DHZ-GZ-104"/>
        <s v="926DHZ-BZ-105"/>
        <s v="926DHY-UZ-102"/>
        <s v="326DHZ-GZ-101"/>
        <s v="326DHZ-BZ-101"/>
        <s v="926DHZ-BZ-104"/>
        <s v="926DHZ-GH-212"/>
        <s v="926DHZ-BH-212"/>
        <s v="926DHY-GH-205"/>
        <s v="926DHY-BH-207"/>
        <s v="926DHZ-UZ-721"/>
        <s v="926DHZ-UZ-722"/>
        <s v="926DHZ-BZ-723"/>
        <s v="926DHZ-GZ-724"/>
        <s v="926DHZ-BZ-725"/>
        <s v="926DHZ-GZ-726"/>
        <s v="926DHY-UZ-729"/>
        <s v="926DHY-UZ-730"/>
        <s v="926DHY-UZ-731"/>
        <s v="926DHY-UZ-732"/>
        <s v="326DHY-UZ-703"/>
        <s v="326DHY-UZ-704"/>
        <s v="326DHY-UZ-705"/>
        <s v="326DZ-UZ-807B"/>
        <s v="326DZ-UZ-505"/>
        <s v="326DZ-UZ-111"/>
        <s v="326DZ-UZ-110B"/>
        <s v="326DZ-UZ-109"/>
        <s v="326DZ-UZ-108B"/>
        <s v="326DZ-UZ-108"/>
        <s v="326DZ-UZ-004C"/>
        <s v="326DZ-US-806B"/>
        <s v="326DZ-US-806"/>
        <s v="326DZ-US-805"/>
        <s v="326DZ-US-504C"/>
        <s v="326DZ-US-502"/>
        <s v="326DZ-US-501"/>
        <s v="326DZ-GZ-801"/>
        <s v="326DZ-GS-502"/>
        <s v="326DZ-GS-501"/>
        <s v="326DZ-UBZ-801"/>
        <s v="326DZ-BS-504"/>
        <s v="426VDZ-US-922"/>
        <s v="426DZ-US-912"/>
        <s v="426DZ-US-910"/>
        <s v="426DZ-US-908C"/>
        <s v="426DZ-US-604"/>
        <s v="426DZ-US-601"/>
        <s v="426DZ-US-502"/>
        <s v="326DZ-BUS-203"/>
        <s v="226DZ-UZ-201"/>
        <s v="426DB-US-401"/>
        <s v="426DB-US-702"/>
        <s v="426VDB-UM-001"/>
        <s v="426DB-US-701"/>
        <s v="426VDB-UM-701"/>
        <s v="426VDB-US-701"/>
        <s v="426VDB-UZ-702"/>
        <s v="426DB-US-705"/>
        <s v="426VDB-UZ-709"/>
        <s v="426VDB-UZ-601"/>
        <s v="426VDHZ-UZ-002"/>
        <s v="426VDHZ-GZ-107"/>
        <s v="426VDHZ-BZ-107"/>
        <s v="426DHZ-UZ-102B"/>
        <s v="426DHY-UZ-003"/>
        <s v="326DHZ-GZ-103D"/>
        <s v="326DHZ-GZ-103C"/>
        <s v="326DHZ-GZ-103B"/>
        <s v="326DHZ-GZ-002"/>
        <s v="326DHZ-GZ-001"/>
        <s v="326DHZ-BZ-002"/>
        <s v="326DHZ-BZ-001"/>
        <s v="326DHY-UZ-108B"/>
        <s v="326DHY-UZ-107"/>
        <s v="326DHY-UZ-106"/>
        <s v="326DHY-UZ-105"/>
        <s v="326DHY-UZ-104"/>
        <s v="326DHY-UZ-102"/>
        <s v="326DHY-UZ-101"/>
        <s v="326DHY-GZ-101B"/>
        <s v="326DHY-GUZ-103"/>
        <s v="926DHZ-UZ-102"/>
        <s v="926VDHZ-GZ-103"/>
        <s v="926VDHZ-BH-201"/>
        <s v="926VDHY-BH-204"/>
        <s v="926VDHZ-GH-204"/>
        <s v="926DHZ-GZ-103B"/>
        <s v="926DHZ-GZ-103"/>
        <s v="926DHZ-GH-211"/>
        <s v="926DHZ-GH-206D"/>
        <s v="926DHZ-GH-206C"/>
        <s v="926DHZ-BH-211"/>
        <s v="926DHZ-BH-208B"/>
        <s v="226DHY-GZ-003"/>
        <s v="326DHY-UZ-701"/>
        <s v="326DZ-UZ-801"/>
        <s v="326DZ-BS-801"/>
        <s v="426DZ-UZ-501"/>
        <s v="426DZ-UZ-502B"/>
        <s v="426VDZ-UBZ-802"/>
        <s v="426DZ-US-924"/>
        <s v="426DZ-US-925"/>
        <s v="426DZ-US-928B"/>
        <s v="426DZ-US-930"/>
        <s v="426DZ-US-403B"/>
        <s v="426DZ-US-403"/>
        <s v="326DY-BS-201"/>
        <s v="326DY-GS-201"/>
        <s v="326DY-GS-501"/>
        <s v="326DY-GZ-103"/>
        <s v="326DY-GZ-105"/>
        <s v="326DY-GZ-804"/>
        <s v="326DY-UM-102"/>
        <s v="326DY-UM-103"/>
        <s v="326DY-UM-104"/>
        <s v="326DY-UM-104B"/>
        <s v="326DY-UM-401"/>
        <s v="326DY-UN-201"/>
        <s v="326DY-US-001"/>
        <s v="326DY-US-502"/>
        <s v="326DY-US-503"/>
        <s v="326DY-US-507"/>
        <s v="326DY-UZ-001"/>
        <s v="326DY-UZ-002"/>
        <s v="326DY-UZ-005"/>
        <s v="326DY-UZ-005B"/>
        <s v="326DY-UZ-110"/>
        <s v="326DY-UZ-111"/>
        <s v="326DY-UZ-501"/>
        <s v="326DY-UZ-504"/>
        <s v="326DY-UZ-505"/>
        <s v="326DY-UZ-803"/>
        <s v="326DY-US-503B"/>
        <s v="326DZ-GZ-102"/>
        <s v="326DZ-GZ-101"/>
        <s v="326DZ-GM-102"/>
        <s v="326DZ-GM-101"/>
        <s v="326DZ-GS-301"/>
        <s v="326DZ-GN-801"/>
        <s v="326DZ-GS-304"/>
        <s v="326DZ-GS-002"/>
        <s v="326DZ-GS-302"/>
        <s v="326DZ-GS-303"/>
        <s v="326DZ-GN-001"/>
        <s v="926DS-B001"/>
        <s v="926DS-B002"/>
        <s v="926DS-B003"/>
        <s v="926DS-B004"/>
        <s v="926DS-B005"/>
        <s v="926DS-B006"/>
        <s v="926DS-MZ001"/>
        <s v="926DS-MZ002"/>
        <s v="326DS-MZ003"/>
        <s v="926DS-MZ004"/>
        <s v="326DS-MZ005"/>
        <s v="926DS-SB001"/>
        <s v="926DS-SB003"/>
        <s v="DS326-XTT001"/>
        <s v="DS326-XTT002"/>
        <s v="DS326-XTT004"/>
        <s v="DS326-SJ001"/>
        <s v="DS326-SJ002"/>
        <s v="DS326-HZJ001"/>
        <s v="DS326-ZJ273"/>
        <s v="DS326-YJY001"/>
        <s v="225-WH236"/>
        <s v="DS326-JM01"/>
        <s v="DS326-XY001"/>
        <s v="DS326-XY002"/>
        <s v="DS326-YTT002"/>
        <s v="DS326-YTT003-ip"/>
        <s v="DS226-XTT010"/>
        <s v="426DY-US-905"/>
        <s v="426VDY-US-901"/>
        <s v="426VDY-US-903B"/>
        <s v="426VDY-US-903"/>
        <s v="426VDY-US-912"/>
        <s v="426DY-GS-901"/>
        <s v="426VDY-BS-904"/>
        <s v="426DY-US-606"/>
        <s v="426VDB-UZ-401"/>
        <s v="426DY-US-401"/>
        <s v="426DY-US-402"/>
        <s v="426VDB-UM-102"/>
        <s v="426DY-GM-101"/>
        <s v="426VDB-UM-101"/>
        <s v="426DY-GM-102"/>
        <s v="426VDB-UZ-101B"/>
        <s v="426VDB-UZ-101"/>
        <s v="426DY-UZ-101"/>
        <s v="426DY-GZ-101"/>
        <s v="426DY-UZ-802"/>
        <s v="426DY-US-801"/>
        <s v="426DY-US-802"/>
        <s v="426DY-US-803"/>
        <s v="426DY-UZ-801"/>
        <s v="426DY-US-919"/>
        <s v="426DY-US-920"/>
        <s v="426DY-US-910"/>
        <s v="426DY-US-913"/>
        <s v="426DY-US-925"/>
        <s v="426DY-GS-904"/>
        <s v="426DY-GS-902"/>
        <s v="326DY-US-501"/>
        <s v="426VFY-UBS-905"/>
        <s v="326DY-UZ-502"/>
        <s v="BL-30"/>
        <s v="326DZ-UZ-110"/>
        <s v="326DZ-GZ-802"/>
        <s v="BOX-YK-220030103"/>
      </sharedItems>
    </cacheField>
    <cacheField name="翻单款老款号" numFmtId="0">
      <sharedItems containsBlank="1" count="87">
        <s v="208325133201"/>
        <m/>
        <s v="209325100002"/>
        <s v="209325120201"/>
        <s v="209325181202"/>
        <s v="208325133202"/>
        <s v="208325133205"/>
        <s v="209325133207"/>
        <s v="209325133205"/>
        <s v="209325133203"/>
        <s v="208325133203"/>
        <s v="208325133206"/>
        <s v="209325137201"/>
        <s v="209325120202"/>
        <s v="209325120203"/>
        <s v="208325120201"/>
        <s v="209325134202"/>
        <s v="209325134201"/>
        <s v="209325156201"/>
        <s v="208325120202"/>
        <s v="209325133206"/>
        <s v="209325133202"/>
        <s v="209425108005"/>
        <s v="208325103003"/>
        <s v="209425107208"/>
        <s v="209425107201"/>
        <s v="209425107214"/>
        <s v="425VFZ-US-912"/>
        <s v=" 209425108204"/>
        <s v="209425108203"/>
        <s v="204325145001"/>
        <s v="208126145012"/>
        <s v="209126141206"/>
        <s v="209325140201"/>
        <s v="208126140212"/>
        <s v="208126140007"/>
        <s v="208325140010"/>
        <s v="209425120201"/>
        <s v="28074200301"/>
        <s v="209425169103"/>
        <s v="209425169201"/>
        <s v="209226171204"/>
        <s v="209425171202"/>
        <s v="209925171201"/>
        <s v="209925169006"/>
        <s v="209925169106"/>
        <s v="208325169002"/>
        <s v="208325169101"/>
        <s v="209925169105"/>
        <s v="209925172211"/>
        <s v="209925172209"/>
        <s v="209925172210"/>
        <s v="209925172096"/>
        <s v="209925172214"/>
        <s v="209925172213"/>
        <s v="209925172212"/>
        <s v="208325172201"/>
        <s v="208425172203"/>
        <s v="208425107233"/>
        <s v="208425101203"/>
        <s v="209425134201"/>
        <s v="209425133201"/>
        <s v="209425120202"/>
        <s v="208425120201"/>
        <s v="208425120204"/>
        <s v="208425133202"/>
        <s v="208425106202"/>
        <s v="209425171201"/>
        <s v="209425169002"/>
        <s v="209425169102"/>
        <s v="209425169202"/>
        <s v="209325171202"/>
        <s v="209325169203"/>
        <s v="208325169004"/>
        <s v="209925171202"/>
        <s v="209925169004"/>
        <s v="209925170101"/>
        <s v="209925170109"/>
        <s v="209925170021"/>
        <s v="20912516900400366"/>
        <s v="209925170007"/>
        <s v="209925170110"/>
        <s v="209425108101"/>
        <s v="208425107218"/>
        <s v="208325144204"/>
        <s v="208425107209"/>
        <s v="208325141201"/>
      </sharedItems>
    </cacheField>
    <cacheField name="款数" numFmtId="0">
      <sharedItems containsBlank="1" containsNumber="1" containsInteger="1" containsMixedTypes="1" count="3">
        <n v="1"/>
        <s v=""/>
        <m/>
      </sharedItems>
    </cacheField>
    <cacheField name="SKC数" numFmtId="0">
      <sharedItems containsSemiMixedTypes="0" containsString="0" containsNumber="1" containsInteger="1" minValue="0" maxValue="1" count="2">
        <n v="1"/>
        <n v="0"/>
      </sharedItems>
    </cacheField>
    <cacheField name="单款SKC数" numFmtId="0">
      <sharedItems containsSemiMixedTypes="0" containsString="0" containsNumber="1" containsInteger="1" minValue="0" maxValue="12" count="12">
        <n v="4"/>
        <n v="3"/>
        <n v="5"/>
        <n v="2"/>
        <n v="1"/>
        <n v="6"/>
        <n v="7"/>
        <n v="12"/>
        <n v="9"/>
        <n v="10"/>
        <n v="8"/>
        <n v="11"/>
      </sharedItems>
    </cacheField>
    <cacheField name="款色号" numFmtId="0">
      <sharedItems count="1215">
        <s v="20932613320100311"/>
        <s v="20932613320100431"/>
        <s v="20932613320100313"/>
        <s v="20932613320100316"/>
        <s v="20892617100100316"/>
        <s v="20892617100100367"/>
        <s v="20892617100100416"/>
        <s v="20832616920100364"/>
        <s v="20832616920100316"/>
        <s v="20832616920100361"/>
        <s v="20832616920100313"/>
        <s v="20832616920100376"/>
        <s v="20832616910100318"/>
        <s v="20832616910100314"/>
        <s v="20832616910100384"/>
        <s v="20832616900200361"/>
        <s v="20832616900200316"/>
        <s v="20832616900100316"/>
        <s v="20832616910200344"/>
        <s v="20832616910200388"/>
        <s v="20832616900300317"/>
        <s v="20892619500400311"/>
        <s v="20832610820980246"/>
        <s v="20832610820960743"/>
        <s v="20832610820950710"/>
        <s v="20832610820980821"/>
        <s v="20832610020230424"/>
        <s v="20832610020260354"/>
        <s v="20832610020200211"/>
        <s v="20832610020280224"/>
        <s v="20832610020241408"/>
        <s v="20832610020220841"/>
        <s v="20832610020330424"/>
        <s v="20832610020340956"/>
        <s v="20832610020310101"/>
        <s v="20832610020300411"/>
        <s v="20832610020360014"/>
        <s v="20832610020320841"/>
        <s v="20832610002060354"/>
        <s v="20832610002010302"/>
        <s v="20832610510688101"/>
        <s v="20832610510688301"/>
        <s v="20832610500788101"/>
        <s v="20832610210210302"/>
        <s v="20832610210200388"/>
        <s v="20832610810140626"/>
        <s v="20832610810150606"/>
        <s v="20832610810120210"/>
        <s v="20832610810240626"/>
        <s v="20832610810280821"/>
        <s v="20832610010180923"/>
        <s v="20832610010110501"/>
        <s v="20832610010120841"/>
        <s v="20832610010200211"/>
        <s v="20832610010280023"/>
        <s v="20832610010310501"/>
        <s v="20832610010330323"/>
        <s v="20832610010300415"/>
        <s v="20832612110180486"/>
        <s v="20832612110141115"/>
        <s v="20832610300600311"/>
        <s v="20832610300601315"/>
        <s v="20832610801098101"/>
        <s v="20832610801088201"/>
        <s v="20832610400560658"/>
        <s v="20832610400541115"/>
        <s v="20832610001310501"/>
        <s v="20832610001360010"/>
        <s v="20832610001500317"/>
        <s v="20832610001501315"/>
        <s v="20832610001710302"/>
        <s v="20832610001760014"/>
        <s v="20832610001810302"/>
        <s v="20832610001880085"/>
        <s v="20832610001800333"/>
        <s v="20832610001960316"/>
        <s v="20832610001980085"/>
        <s v="20832611100100322"/>
        <s v="20832611100101315"/>
        <s v="20832611100100388"/>
        <s v="20832610500570032"/>
        <s v="20832610500560014"/>
        <s v="20832612300110501"/>
        <s v="20832612300100211"/>
        <s v="20832612300160005"/>
        <s v="20832612300200211"/>
        <s v="20832612300210501"/>
        <s v="20832610801200211"/>
        <s v="20832610801200322"/>
        <s v="20832610801200312"/>
        <s v="20832610020440887"/>
        <s v="20832610020461206"/>
        <s v="20832610020400381"/>
        <s v="20832610320101315"/>
        <s v="20832610320100334"/>
        <s v="20832610321100385"/>
        <s v="20832610321100381"/>
        <s v="20832610321100388"/>
        <s v="20832610820198101"/>
        <s v="20832610820188201"/>
        <s v="20832610820228301"/>
        <s v="20832610820288201"/>
        <s v="20832610520830505"/>
        <s v="20832610520860108"/>
        <s v="20832610520950644"/>
        <s v="20832610520980870"/>
        <s v="20832610820750311"/>
        <s v="20832610820701315"/>
        <s v="20832610820860316"/>
        <s v="20832610820850307"/>
        <s v="20832610820880821"/>
        <s v="20832610820800481"/>
        <s v="20832610821000455"/>
        <s v="20832610821000466"/>
        <s v="20832610420361206"/>
        <s v="20832610420300211"/>
        <s v="20832610420341715"/>
        <s v="20832610420410501"/>
        <s v="20832610420480821"/>
        <s v="20832610020610101"/>
        <s v="20832610020640221"/>
        <s v="20832610020600481"/>
        <s v="20832610020780923"/>
        <s v="20832610020760356"/>
        <s v="20832610020730005"/>
        <s v="20832610020700421"/>
        <s v="20832610020710302"/>
        <s v="20832610520350806"/>
        <s v="20832610520360354"/>
        <s v="20832610520380023"/>
        <s v="20832610520320841"/>
        <s v="20832610820310501"/>
        <s v="20832610820360316"/>
        <s v="20832610820300211"/>
        <s v="20832610820380821"/>
        <s v="20832610820450307"/>
        <s v="20832610820400211"/>
        <s v="20832610820480821"/>
        <s v="20832610820550307"/>
        <s v="20832610820520841"/>
        <s v="20832610400681004"/>
        <s v="20832612020400418"/>
        <s v="20832612020400366"/>
        <s v="20832613420160053"/>
        <s v="20832613420110402"/>
        <s v="20832618120100355"/>
        <s v="20832618120100366"/>
        <s v="20832615620100318"/>
        <s v="20832610120200311"/>
        <s v="20832610120200333"/>
        <s v="20832610120310501"/>
        <s v="20832610120360356"/>
        <s v="20832610120300333"/>
        <s v="20832613320170706"/>
        <s v="20832613320141428"/>
        <s v="20832613320110710"/>
        <s v="20832613320200366"/>
        <s v="20832613320200333"/>
        <s v="20832613320360053"/>
        <s v="20832613320380024"/>
        <s v="20832613320310710"/>
        <s v="20832613320400311"/>
        <s v="20832613320440372"/>
        <s v="20832613320410710"/>
        <s v="20832613320580932"/>
        <s v="20832613320560053"/>
        <s v="20832613320541428"/>
        <s v="20832613320600317"/>
        <s v="20832613320600388"/>
        <s v="20832613320600333"/>
        <s v="20832613320700311"/>
        <s v="20832613320700344"/>
        <s v="20832613720100312"/>
        <s v="20832613720100366"/>
        <s v="20832613720100333"/>
        <s v="20832612020500322"/>
        <s v="20832612020500377"/>
        <s v="20832612020500333"/>
        <s v="20832612020100421"/>
        <s v="20832612020100312"/>
        <s v="20832612020100316"/>
        <s v="20832612020100318"/>
        <s v="20832612020100385"/>
        <s v="20832612020260356"/>
        <s v="20832612020231401"/>
        <s v="20832612020280821"/>
        <s v="20832612020300312"/>
        <s v="20832612020300316"/>
        <s v="20832612020300388"/>
        <s v="20832612020781503"/>
        <s v="20832612020720114"/>
        <s v="20832612020700366"/>
        <s v="20832613420260053"/>
        <s v="20832613420280024"/>
        <s v="20832613420210710"/>
        <s v="20832613420300315"/>
        <s v="20832613420300377"/>
        <s v="20832613420300366"/>
        <s v="20832613420300344"/>
        <s v="20832613420300333"/>
        <s v="20832615620200366"/>
        <s v="20832615620200333"/>
        <s v="20832612020800366"/>
        <s v="20832612020800333"/>
        <s v="20832613320800312"/>
        <s v="20832613320800366"/>
        <s v="20832613320900315"/>
        <s v="20832613320900312"/>
        <s v="20832613320900313"/>
        <s v="20832613320900366"/>
        <s v="20832613320900344"/>
        <s v="20832613320900388"/>
        <s v="20832613320900333"/>
        <s v="20832618129900388"/>
        <s v="20832618129901315"/>
        <s v="20832618129800388"/>
        <s v="20832618129801315"/>
        <s v="20832618129700311"/>
        <s v="20832618129600311"/>
        <s v="20832610500400311"/>
        <s v="20832610500400211"/>
        <s v="20832610500188201"/>
        <s v="20832610500100366"/>
        <s v="20832612300390001"/>
        <s v="20832612300300102"/>
        <s v="20832612300300205"/>
        <s v="20832610300400328"/>
        <s v="20832610300400315"/>
        <s v="20832610400480821"/>
        <s v="20832610400460316"/>
        <s v="20832610400200211"/>
        <s v="20832610400281515"/>
        <s v="20832610400180821"/>
        <s v="20832610400100422"/>
        <s v="20832612100110101"/>
        <s v="20832612100170029"/>
        <s v="20832610801300102"/>
        <s v="20832610801390001"/>
        <s v="20832610800890001"/>
        <s v="20832610800870029"/>
        <s v="20832610800800211"/>
        <s v="20832610800588301"/>
        <s v="20832610800588201"/>
        <s v="20832610800488101"/>
        <s v="20832610800498101"/>
        <s v="20832610800300322"/>
        <s v="20832610800300311"/>
        <s v="20832610800288302"/>
        <s v="20832610800298101"/>
        <s v="20832610000320911"/>
        <s v="20832610000310101"/>
        <s v="20832610000290001"/>
        <s v="20832610000210101"/>
        <s v="20832610000260359"/>
        <s v="20832610000270029"/>
        <s v="20832610000110710"/>
        <s v="20832610000100419"/>
        <s v="20832610000160397"/>
        <s v="20832610000800419"/>
        <s v="20832610000800418"/>
        <s v="20832610000800455"/>
        <s v="20832610000700413"/>
        <s v="20832610000700412"/>
        <s v="20832610000700466"/>
        <s v="20832610000680821"/>
        <s v="20832610000670706"/>
        <s v="20832610000610101"/>
        <s v="20832610000480821"/>
        <s v="20832610000410101"/>
        <s v="20832610200200361"/>
        <s v="20832610200200381"/>
        <s v="20832610200210302"/>
        <s v="20832610200188101"/>
        <s v="20832610200100377"/>
        <s v="20832610200100366"/>
        <s v="20942610800190001"/>
        <s v="20942610800100102"/>
        <s v="20942610800180821"/>
        <s v="20942610800170045"/>
        <s v="20832610300500391"/>
        <s v="20832610300560397"/>
        <s v="20832610300581515"/>
        <s v="20832610300200388"/>
        <s v="20832610300200311"/>
        <s v="20832610800920841"/>
        <s v="20832610800960316"/>
        <s v="20832610800700499"/>
        <s v="20832610521140974"/>
        <s v="20832610521160261"/>
        <s v="20832610521100205"/>
        <s v="20832610521200388"/>
        <s v="20832610521200322"/>
        <s v="20832610510400399"/>
        <s v="20832610510420841"/>
        <s v="20832610510250622"/>
        <s v="20832610510588301"/>
        <s v="20832610510300382"/>
        <s v="20832610510300365"/>
        <s v="20832610320700419"/>
        <s v="20832610320700491"/>
        <s v="20832610320700422"/>
        <s v="20832610320700461"/>
        <s v="20832610320700417"/>
        <s v="20832610320800418"/>
        <s v="20832610320800461"/>
        <s v="20832610320800421"/>
        <s v="20832610320800481"/>
        <s v="20832610320800419"/>
        <s v="20832610320900488"/>
        <s v="20832610320900481"/>
        <s v="20832610320900482"/>
        <s v="20832610320900419"/>
        <s v="20832610320900416"/>
        <s v="20832610320900441"/>
        <s v="20832610321000412"/>
        <s v="20832610321000491"/>
        <s v="20832610321000458"/>
        <s v="20832610420810101"/>
        <s v="20832610420800493"/>
        <s v="20832610420980821"/>
        <s v="20832610420900205"/>
        <s v="20832610420910302"/>
        <s v="20832610421090001"/>
        <s v="20832610421070048"/>
        <s v="20832612120200333"/>
        <s v="20832612120200359"/>
        <s v="20832612120200388"/>
        <s v="20832612120201315"/>
        <s v="20832612120200322"/>
        <s v="20832612120350444"/>
        <s v="20832612120381335"/>
        <s v="20832612120360208"/>
        <s v="20832610821190001"/>
        <s v="20832610821100205"/>
        <s v="20832610821180821"/>
        <s v="20832610821170029"/>
        <s v="20832610821110302"/>
        <s v="20832610821220410"/>
        <s v="20832610821220023"/>
        <s v="20832610821250230"/>
        <s v="20832610821270113"/>
        <s v="20832610810320410"/>
        <s v="20832610810300366"/>
        <s v="20832610810320210"/>
        <s v="20832610810488301"/>
        <s v="20832610810498201"/>
        <s v="20832610810588301"/>
        <s v="20832610810588201"/>
        <s v="20832610810510302"/>
        <s v="20832610021310101"/>
        <s v="20832610021390001"/>
        <s v="20832610021370113"/>
        <s v="20832610021341184"/>
        <s v="20832610021340935"/>
        <s v="20832610021300311"/>
        <s v="20832610021320410"/>
        <s v="20832610021360163"/>
        <s v="20832610021300419"/>
        <s v="20832610021300414"/>
        <s v="20832610021381203"/>
        <s v="20832610021300388"/>
        <s v="20832610021400314"/>
        <s v="20832610021400391"/>
        <s v="20832610021400317"/>
        <s v="20832610021400342"/>
        <s v="20832610021400388"/>
        <s v="20832610021400319"/>
        <s v="20832610021401315"/>
        <s v="20832610010410101"/>
        <s v="20832610010420402"/>
        <s v="20832610010400211"/>
        <s v="20832610010481101"/>
        <s v="20832610010510101"/>
        <s v="20832610010590001"/>
        <s v="20832610010580919"/>
        <s v="20832610010540974"/>
        <s v="20832610021100488"/>
        <s v="20832610021100434"/>
        <s v="20832610021101315"/>
        <s v="20832610021200341"/>
        <s v="20832610021200381"/>
        <s v="20832610010600444"/>
        <s v="20832610010600488"/>
        <s v="20832610010810101"/>
        <s v="20832610010800491"/>
        <s v="20832610010800419"/>
        <s v="20832610010710101"/>
        <s v="20832610010790001"/>
        <s v="20832610220250311"/>
        <s v="20832610220280901"/>
        <s v="20832610220241122"/>
        <s v="20832610220230001"/>
        <s v="20832610220300485"/>
        <s v="20832610220300445"/>
        <s v="20832610220300461"/>
        <s v="20832610220300451"/>
        <s v="20832610220300481"/>
        <s v="20832610220300435"/>
        <s v="20832610220300491"/>
        <s v="20832610220450842"/>
        <s v="20832610220460335"/>
        <s v="20832610220450311"/>
        <s v="20832610210388101"/>
        <s v="20832610210398101"/>
        <s v="20842610320200422"/>
        <s v="20842610320200455"/>
        <s v="20842610320200411"/>
        <s v="20842610320200466"/>
        <s v="20842610320200488"/>
        <s v="20842610320300411"/>
        <s v="20842610320300488"/>
        <s v="20842610320300466"/>
        <s v="20942610720290001"/>
        <s v="20942610720250627"/>
        <s v="20942610720210501"/>
        <s v="20942610720790001"/>
        <s v="20942610720750627"/>
        <s v="20942610720710501"/>
        <s v="20942610720141424"/>
        <s v="20942610720190001"/>
        <s v="20942610720110501"/>
        <s v="20942610720150627"/>
        <s v="20942610720140891"/>
        <s v="20942610720180013"/>
        <s v="20942610720160005"/>
        <s v="20942610720170032"/>
        <s v="20942610720131401"/>
        <s v="20842610720490001"/>
        <s v="20842610720410501"/>
        <s v="20842610720441424"/>
        <s v="20842610720450627"/>
        <s v="20842610720440891"/>
        <s v="20842610720480013"/>
        <s v="20842610720460005"/>
        <s v="20842610720470032"/>
        <s v="20842610720400344"/>
        <s v="20842610720400366"/>
        <s v="20942610720690001"/>
        <s v="20942610720610501"/>
        <s v="20942610720641424"/>
        <s v="20942610720650627"/>
        <s v="20842610720210501"/>
        <s v="20842610720290001"/>
        <s v="20842610720220006"/>
        <s v="20842610720270618"/>
        <s v="20842610720100429"/>
        <s v="20842610720100482"/>
        <s v="20842610720100467"/>
        <s v="20842610720100442"/>
        <s v="20842610721000411"/>
        <s v="20842610721000477"/>
        <s v="20842610721000466"/>
        <s v="20842610721000499"/>
        <s v="20842610721000444"/>
        <s v="20842610720390001"/>
        <s v="20842610720360081"/>
        <s v="20842610720300469"/>
        <s v="20842610720300449"/>
        <s v="20842610720300479"/>
        <s v="20942610720390001"/>
        <s v="20942610720370007"/>
        <s v="20942610720340627"/>
        <s v="20942610720360658"/>
        <s v="20942610720320048"/>
        <s v="20842610721190001"/>
        <s v="20842610721110503"/>
        <s v="20842610721151006"/>
        <s v="20942610820170601"/>
        <s v="20942610820190001"/>
        <s v="20942610820140627"/>
        <s v="20942610820180821"/>
        <s v="20942610820100102"/>
        <s v="20942610820280821"/>
        <s v="20942610820290001"/>
        <s v="20942610820200502"/>
        <s v="20942610820261206"/>
        <s v="20942610820210503"/>
        <s v="20942610820200205"/>
        <s v="20832614620300315"/>
        <s v="20832614620300371"/>
        <s v="20832614600508901"/>
        <s v="20832614600560301"/>
        <s v="20832614620800328"/>
        <s v="20832614620800372"/>
        <s v="20832614620800450"/>
        <s v="20832614621000311"/>
        <s v="20832614621060301"/>
        <s v="20832614120510101"/>
        <s v="20832614120510301"/>
        <s v="20832614120600311"/>
        <s v="20832614120600317"/>
        <s v="20832614120600321"/>
        <s v="20832614101909001"/>
        <s v="20832614101920301"/>
        <s v="20832614100890001"/>
        <s v="20832614100850001"/>
        <s v="20832614101020301"/>
        <s v="20832614101010301"/>
        <s v="20832614020490001"/>
        <s v="20832614020400311"/>
        <s v="20832614020400318"/>
        <s v="20832614020400392"/>
        <s v="20832614020400317"/>
        <s v="20832614020400391"/>
        <s v="20832614020660301"/>
        <s v="20832614020600328"/>
        <s v="20832614020700394"/>
        <s v="20832614020790001"/>
        <s v="20832614020770001"/>
        <s v="20832614000860301"/>
        <s v="20832614000800317"/>
        <s v="20832614000810301"/>
        <s v="20832614001120301"/>
        <s v="20832614001100318"/>
        <s v="20832614001160301"/>
        <s v="20842610720500334"/>
        <s v="20842610720500333"/>
        <s v="20842610720500355"/>
        <s v="20842610720501315"/>
        <s v="20842610720500344"/>
        <s v="20842610720541416"/>
        <s v="20842610720761003"/>
        <s v="20842610720760334"/>
        <s v="20842610720790001"/>
        <s v="20842610720780102"/>
        <s v="20842610720731004"/>
        <s v="20842610720730821"/>
        <s v="20842610720741416"/>
        <s v="20842610720740622"/>
        <s v="20842610720630183"/>
        <s v="20842610720690001"/>
        <s v="20842610720600391"/>
        <s v="20842610720601315"/>
        <s v="20842610720640339"/>
        <s v="20842610720660334"/>
        <s v="20842610720670032"/>
        <s v="20842610720600395"/>
        <s v="20842610720670304"/>
        <s v="20842610720680415"/>
        <s v="20842610720600399"/>
        <s v="20842610520100388"/>
        <s v="20842610520100314"/>
        <s v="20842610520100315"/>
        <s v="20842610520101315"/>
        <s v="20842610520200333"/>
        <s v="20842610520200381"/>
        <s v="20842610520201315"/>
        <s v="20842610520200321"/>
        <s v="20842610120260316"/>
        <s v="20842610120200319"/>
        <s v="20842610120250609"/>
        <s v="20842610120110501"/>
        <s v="20842610120130305"/>
        <s v="20842610120160334"/>
        <s v="20842610120100311"/>
        <s v="20842610120150710"/>
        <s v="20842610820150710"/>
        <s v="20842610820180521"/>
        <s v="20842610820160743"/>
        <s v="20842610820170751"/>
        <s v="20842610820160335"/>
        <s v="20842610820190001"/>
        <s v="20842610720890001"/>
        <s v="20842610720870048"/>
        <s v="20842610720860611"/>
        <s v="20842610720831410"/>
        <s v="20842610720820225"/>
        <s v="20842612020100355"/>
        <s v="20842612020100366"/>
        <s v="20842612020100388"/>
        <s v="20842612020100333"/>
        <s v="20842612020700355"/>
        <s v="20842612020700366"/>
        <s v="20842612020700388"/>
        <s v="20842612020700333"/>
        <s v="20842610520300311"/>
        <s v="20842610520300366"/>
        <s v="20942612020100315"/>
        <s v="20942612020100312"/>
        <s v="20942612020100318"/>
        <s v="20942612020100366"/>
        <s v="20942612020100381"/>
        <s v="20942612020100333"/>
        <s v="20842610700190001"/>
        <s v="20842610700160315"/>
        <s v="20842616900100364"/>
        <s v="20842616900100317"/>
        <s v="20942616910190001"/>
        <s v="20942616910100102"/>
        <s v="20842616920210302"/>
        <s v="20942616920110302"/>
        <s v="20942616920100419"/>
        <s v="20942616920190001"/>
        <s v="20942616920100459"/>
        <s v="20942616920100445"/>
        <s v="20942616920100466"/>
        <s v="20942616920100415"/>
        <s v="20942616920100485"/>
        <s v="20942616920100491"/>
        <s v="20932616920110302"/>
        <s v="20932616920100419"/>
        <s v="20832617100300319"/>
        <s v="20832617100300322"/>
        <s v="20832617120100322"/>
        <s v="20832617120101315"/>
        <s v="20832617120100388"/>
        <s v="20942617120100484"/>
        <s v="20942617120100311"/>
        <s v="20942617120100388"/>
        <s v="20942617120100334"/>
        <s v="20942617120100377"/>
        <s v="20942617120100322"/>
        <s v="20842617120100366"/>
        <s v="20842617120100311"/>
        <s v="20842617120100484"/>
        <s v="20842617120100322"/>
        <s v="20992617120300318"/>
        <s v="20832617100200333"/>
        <s v="20832617100201315"/>
        <s v="20832617100101315"/>
        <s v="20832617100100328"/>
        <s v="20992616900600367"/>
        <s v="20992616900600366"/>
        <s v="20892616910100382"/>
        <s v="20892616920100319"/>
        <s v="20892616920100388"/>
        <s v="20892616920100205"/>
        <s v="20832616900500366"/>
        <s v="20832616910300328"/>
        <s v="20832616910300382"/>
        <s v="20992616910400391"/>
        <s v="20992616910400328"/>
        <s v="20992616910400318"/>
        <s v="20892617000700333"/>
        <s v="20892617000700377"/>
        <s v="20892617000700366"/>
        <s v="20892617010700328"/>
        <s v="20892617010700338"/>
        <s v="20892617010700318"/>
        <s v="20892617000500333"/>
        <s v="20892617010600333"/>
        <s v="20992617223000344"/>
        <s v="20992617223000384"/>
        <s v="20992617223000316"/>
        <s v="20992617223000382"/>
        <s v="20992617223000367"/>
        <s v="20992617223100366"/>
        <s v="20992617223100388"/>
        <s v="20992617223100384"/>
        <s v="20992617223100367"/>
        <s v="20892617210300381"/>
        <s v="20892617210300385"/>
        <s v="20892617210300328"/>
        <s v="20992617200400382"/>
        <s v="20992617200400381"/>
        <s v="20992617200400361"/>
        <s v="20992617210500382"/>
        <s v="20992617210500391"/>
        <s v="20992617210500384"/>
        <s v="20992617203200381"/>
        <s v="20992617203200319"/>
        <s v="20992617203200365"/>
        <s v="20892617220700366"/>
        <s v="20892617220700388"/>
        <s v="20992617220800358"/>
        <s v="20992617220800363"/>
        <s v="20992617220900381"/>
        <s v="20992617220900331"/>
        <s v="20992617221000385"/>
        <s v="20992617221000361"/>
        <s v="20832617221300384"/>
        <s v="20832617221300363"/>
        <s v="20932617221400384"/>
        <s v="20932617221400363"/>
        <s v="20832617221500321"/>
        <s v="20832617221500371"/>
        <s v="20832610821390001"/>
        <s v="20832610821370048"/>
        <s v="20832610821320410"/>
        <s v="20832610521900377"/>
        <s v="20832610521900329"/>
        <s v="20832610521900388"/>
        <s v="20832610021700319"/>
        <s v="20832610021700388"/>
        <s v="20832610021700316"/>
        <s v="20832610021810101"/>
        <s v="20832610021880821"/>
        <s v="20832610021870048"/>
        <s v="20832610021610101"/>
        <s v="20832610021620410"/>
        <s v="20832610021660005"/>
        <s v="20832610021680821"/>
        <s v="20832612120461206"/>
        <s v="20832612120440466"/>
        <s v="20832612120450311"/>
        <s v="20832612120510718"/>
        <s v="20832612120570029"/>
        <s v="20832612120580913"/>
        <s v="20832610421190001"/>
        <s v="20832610421170048"/>
        <s v="20832610421100211"/>
        <s v="20832610821680821"/>
        <s v="20832610821650947"/>
        <s v="20832610821670407"/>
        <s v="20832610821590001"/>
        <s v="20832610821520410"/>
        <s v="20832610821561206"/>
        <s v="20832610821570029"/>
        <s v="20832610821790001"/>
        <s v="20832610521880913"/>
        <s v="20832610521870029"/>
        <s v="20832610521800377"/>
        <s v="20832610521890001"/>
        <s v="20832610521841113"/>
        <s v="20832610520100377"/>
        <s v="20832610520100366"/>
        <s v="20832610520100399"/>
        <s v="20832610520100322"/>
        <s v="20832610521770048"/>
        <s v="20832610521790001"/>
        <s v="20832610521741113"/>
        <s v="20832610521731398"/>
        <s v="20832610521760163"/>
        <s v="20832610801520023"/>
        <s v="20832610801580821"/>
        <s v="20832610500870029"/>
        <s v="20832610500861206"/>
        <s v="20832610500970048"/>
        <s v="20832610500940357"/>
        <s v="20832610821420113"/>
        <s v="20832610821470407"/>
        <s v="20832610510731398"/>
        <s v="20832610510741113"/>
        <s v="20832610510790001"/>
        <s v="20942610720490001"/>
        <s v="20942610720400377"/>
        <s v="20942610720400382"/>
        <s v="20942610720400322"/>
        <s v="20842610721590001"/>
        <s v="20842610721520016"/>
        <s v="20842610721570011"/>
        <s v="20842610721550311"/>
        <s v="20842610720900399"/>
        <s v="20842610720900311"/>
        <s v="20842610720900366"/>
        <s v="20842610720900377"/>
        <s v="20842610721600377"/>
        <s v="20842610721690001"/>
        <s v="20842610721600343"/>
        <s v="20842610721600388"/>
        <s v="20842610620190001"/>
        <s v="20842610620110501"/>
        <s v="20842610620141424"/>
        <s v="20842610620150627"/>
        <s v="20842610620160311"/>
        <s v="20842610620200399"/>
        <s v="20842610620200388"/>
        <s v="20842610620200377"/>
        <s v="20842610620200311"/>
        <s v="20842610620200344"/>
        <s v="20842610620200333"/>
        <s v="20842610520620113"/>
        <s v="20842610520661206"/>
        <s v="20842610520680224"/>
        <s v="20832610210550002"/>
        <s v="20832610210580821"/>
        <s v="20822610220200311"/>
        <s v="20822610220200388"/>
        <s v="20822610220200366"/>
        <s v="20822610220200377"/>
        <s v="20842610120400366"/>
        <s v="20842610120400344"/>
        <s v="20842610120400333"/>
        <s v="20842612020200328"/>
        <s v="20842612020200377"/>
        <s v="20842613420100415"/>
        <s v="20842613420100377"/>
        <s v="20842613420100333"/>
        <s v="20842612020400366"/>
        <s v="20842612020400333"/>
        <s v="20842613320200416"/>
        <s v="20842613320200311"/>
        <s v="20842613320200377"/>
        <s v="20842612020500328"/>
        <s v="20842612020500366"/>
        <s v="20842612020500344"/>
        <s v="20842612020500333"/>
        <s v="20842612020500331"/>
        <s v="20842612020600388"/>
        <s v="20842612020600366"/>
        <s v="20842612020300328"/>
        <s v="20842612020331004"/>
        <s v="20842613320100312"/>
        <s v="20842610620400344"/>
        <s v="20842610620400355"/>
        <s v="20942617120200388"/>
        <s v="20942617120200377"/>
        <s v="20942617120200322"/>
        <s v="20942617120200351"/>
        <s v="20942616900110302"/>
        <s v="20942616900100377"/>
        <s v="20942616900100366"/>
        <s v="20942616910200205"/>
        <s v="20942616910280021"/>
        <s v="20942616910280235"/>
        <s v="20942616920200366"/>
        <s v="20942616920200384"/>
        <s v="20842617120201315"/>
        <s v="20842617120200388"/>
        <s v="20842617120200344"/>
        <s v="20832616900900377"/>
        <s v="20832616900900367"/>
        <s v="20832616900800316"/>
        <s v="20832616900800366"/>
        <s v="20832616900700317"/>
        <s v="20832617100501315"/>
        <s v="20832617100500311"/>
        <s v="20832617100401315"/>
        <s v="20832617100400333"/>
        <s v="20832617100400377"/>
        <s v="20832617110200333"/>
        <s v="20832617110200322"/>
        <s v="20832617110100388"/>
        <s v="20832617110100329"/>
        <s v="20832616920900314"/>
        <s v="20832616920900317"/>
        <s v="20832616920800318"/>
        <s v="20832616920800388"/>
        <s v="20832616920800366"/>
        <s v="20832616920800377"/>
        <s v="20832616920700355"/>
        <s v="20832616920600341"/>
        <s v="20832616920600388"/>
        <s v="20832616920600366"/>
        <s v="20832616920500322"/>
        <s v="20832616920500384"/>
        <s v="20832616920500316"/>
        <s v="20832616920300318"/>
        <s v="20832616920300328"/>
        <s v="20832616920330101"/>
        <s v="20832616920300319"/>
        <s v="20832616920200388"/>
        <s v="20832616920200317"/>
        <s v="20832616920200314"/>
        <s v="20832616900600366"/>
        <s v="20832616900600316"/>
        <s v="20832616900600317"/>
        <s v="20832616900400391"/>
        <s v="20832616900400312"/>
        <s v="20992617120200344"/>
        <s v="20992616900700366"/>
        <s v="20992617012000318"/>
        <s v="20992617011900328"/>
        <s v="20992617002200367"/>
        <s v="20992616900800366"/>
        <s v="20992616900500361"/>
        <s v="20992616900500377"/>
        <s v="20892617000600317"/>
        <s v="20892617000600316"/>
        <s v="20892617000600318"/>
        <s v="20892617000900367"/>
        <s v="20892617000800367"/>
        <s v="20992617011800348"/>
        <s v="20992617011800324"/>
        <s v="20992617011800318"/>
        <s v="20892617010800318"/>
        <s v="20892617010800328"/>
        <s v="20822617100610101"/>
        <s v="20822617100660035"/>
        <s v="20832617221100367"/>
        <s v="20832617221100316"/>
        <s v="20832617221100355"/>
        <s v="20832610821890001"/>
        <s v="20832610821800205"/>
        <s v="20832610821810302"/>
        <s v="20832610821861206"/>
        <s v="20832610810620410"/>
        <s v="20832610810620114"/>
        <s v="20832610810640626"/>
        <s v="20832610810670048"/>
        <s v="20842610520410501"/>
        <s v="20842610520460081"/>
        <s v="20842610520420841"/>
        <s v="20842610520440891"/>
        <s v="20842610520470615"/>
        <s v="20842610520500477"/>
        <s v="20842610520500422"/>
        <s v="20842610520500488"/>
        <s v="20942610820370601"/>
        <s v="20942610820390001"/>
        <s v="20942610820380821"/>
        <s v="20942610820300102"/>
        <s v="20842610722690001"/>
        <s v="20842610722660642"/>
        <s v="20842610722640004"/>
        <s v="20842610722660033"/>
        <s v="20842610721790001"/>
        <s v="20842610721760642"/>
        <s v="20842610721760001"/>
        <s v="20842610721740004"/>
        <s v="20842610722780259"/>
        <s v="20842610722790001"/>
        <s v="20842610722740627"/>
        <s v="20842610722770007"/>
        <s v="20842610722720048"/>
        <s v="20842610722760904"/>
        <s v="20842610721890001"/>
        <s v="20842610721820048"/>
        <s v="20842610721880520"/>
        <s v="20842610721860218"/>
        <s v="20842610721840222"/>
        <s v="20842610120790001"/>
        <s v="20842610120740962"/>
        <s v="20842610120750355"/>
        <s v="20842610120870648"/>
        <s v="20842610120890001"/>
        <s v="20842610120840962"/>
        <s v="20842610120881045"/>
        <s v="20842610120850355"/>
        <s v="20832610220500413"/>
        <s v="20832610220501315"/>
        <s v="20832610220500444"/>
        <s v="20832610220500488"/>
        <s v="20832610220500433"/>
        <s v="20832610200400311"/>
        <s v="20832610200400488"/>
        <s v="20832610500600311"/>
        <s v="20832610500601315"/>
        <s v="20832610001400316"/>
        <s v="20832610001400311"/>
        <s v="20832610001600313"/>
        <s v="20832610001610302"/>
        <s v="20832610001601315"/>
        <s v="20832610801160316"/>
        <s v="20832610801100211"/>
        <s v="20832610320200366"/>
        <s v="20832610320200344"/>
        <s v="20832610320200388"/>
        <s v="20832610320200333"/>
        <s v="20832610320300316"/>
        <s v="20832610320301315"/>
        <s v="20832610320300381"/>
        <s v="20832610320400388"/>
        <s v="20832610320400333"/>
        <s v="20832610320500315"/>
        <s v="20832610320500313"/>
        <s v="20832610320501315"/>
        <s v="20832610120100311"/>
        <s v="20832610120101315"/>
        <s v="20832610120100344"/>
        <s v="20832610220188101"/>
        <s v="20832610220188301"/>
        <s v="20832610420760335"/>
        <s v="20832610420720841"/>
        <s v="20832610520660335"/>
        <s v="20832610520650230"/>
        <s v="20832610520780923"/>
        <s v="20832610520700322"/>
        <s v="20832610520760043"/>
        <s v="20832610520700377"/>
        <s v="20832610521000366"/>
        <s v="20832610521000388"/>
        <s v="20832610521041113"/>
        <s v="20832610420110501"/>
        <s v="20832610420100211"/>
        <s v="20832610420180023"/>
        <s v="20832610420230032"/>
        <s v="20832610420280821"/>
        <s v="20832610420260043"/>
        <s v="20832610420530505"/>
        <s v="20832610420561206"/>
        <s v="20832610420550606"/>
        <s v="20832610420600211"/>
        <s v="20832610420690001"/>
        <s v="20832610020800419"/>
        <s v="20832610020800461"/>
        <s v="20832610020800466"/>
        <s v="20832610020800436"/>
        <s v="20832610020900421"/>
        <s v="20832610020900426"/>
        <s v="20832610020900466"/>
        <s v="20832610020900433"/>
        <s v="20832610520210501"/>
        <s v="20832610520260316"/>
        <s v="20832610520201315"/>
        <s v="20832610520280085"/>
        <s v="20832610520420413"/>
        <s v="20832610520460014"/>
        <s v="20832610520450248"/>
        <s v="20832610520580870"/>
        <s v="20832610520561312"/>
        <s v="20832610520541746"/>
        <s v="20832610820660335"/>
        <s v="20832610820650335"/>
        <s v="20832610820600211"/>
        <s v="20832610820600388"/>
        <s v="20832610521401315"/>
        <s v="20832610521400388"/>
        <s v="20832610002210101"/>
        <s v="20832610002260016"/>
        <s v="20832610002100422"/>
        <s v="20832610002110101"/>
        <s v="20832610300800411"/>
        <s v="20832610300800466"/>
        <s v="20832610300700535"/>
        <s v="20832611200131410"/>
        <s v="20832610801400488"/>
        <s v="20832611100400388"/>
        <s v="20832610400800377"/>
        <s v="20832610400900333"/>
        <s v="20832611100300334"/>
        <s v="20832611100300366"/>
        <s v="20832610400700388"/>
        <s v="20892616621200454"/>
        <s v="20892616621270001"/>
        <s v="20892616621200388"/>
        <s v="20892616621260001"/>
        <s v="20892616621300355"/>
        <s v="20892616621360001"/>
        <s v="20892616621300366"/>
        <s v="20892616600360001"/>
        <s v="20892616600350301"/>
        <s v="20892616621400388"/>
        <s v="20892616621470001"/>
        <s v="20892616621560001"/>
        <s v="20892616621500384"/>
        <s v="20892616621660001"/>
        <s v="20892616621600388"/>
        <s v="20892616621600344"/>
        <s v="20892616020800368"/>
        <s v="20892616020800385"/>
        <s v="20892616020860001"/>
        <s v="20892616020850601"/>
        <s v="20832616020150601"/>
        <s v="20832616020160001"/>
        <s v="20832616020100333"/>
        <s v="20832616020200318"/>
        <s v="20832616020200330"/>
        <s v="20892616020900316"/>
        <s v="20892616020900385"/>
        <s v="20832616020350601"/>
        <s v="20832616020300388"/>
        <s v="20892617920470001"/>
        <s v="20892617920400344"/>
        <s v="20892617920550601"/>
        <s v="20892617920500377"/>
        <s v="20832614620100312"/>
        <s v="20832614620100316"/>
        <s v="20832614620160301"/>
        <s v="20832614620210101"/>
        <s v="20832614620200310"/>
        <s v="20832614620250301"/>
        <s v="20832614620210301"/>
        <s v="20832614620400380"/>
        <s v="20832614620460301"/>
        <s v="20832614620600354"/>
        <s v="20832614620660301"/>
        <s v="20832614620700407"/>
        <s v="20832614620700353"/>
        <s v="20832614620700345"/>
        <s v="20832614620900316"/>
        <s v="20832614620900351"/>
        <s v="20832614620910301"/>
        <s v="20832614620900317"/>
        <s v="20832614100160001"/>
        <s v="20832614100100310"/>
        <s v="20832614100260101"/>
        <s v="20832614100220301"/>
        <s v="20832614101190001"/>
        <s v="20832614101110301"/>
        <s v="20832614020100411"/>
        <s v="20832614020170002"/>
        <s v="20832614020200318"/>
        <s v="20832614020200304"/>
        <s v="20832614020200324"/>
        <s v="20832614020200327"/>
        <s v="20832614000350301"/>
        <s v="20832614000300310"/>
        <s v="20832614000350901"/>
        <s v="20832614000960301"/>
        <s v="20832614000900317"/>
        <s v="20832614000900318"/>
        <s v="20832614000910301"/>
        <s v="20832614001060301"/>
        <s v="20832614001000317"/>
        <s v="20832614501000313"/>
        <s v="20832614501060301"/>
        <s v="20842610721290001"/>
        <s v="20842610721230401"/>
        <s v="20842610721250962"/>
        <s v="20842610721200366"/>
        <s v="20842610721240112"/>
        <s v="20842610721350355"/>
        <s v="20842610721350812"/>
        <s v="20842610721360043"/>
        <s v="20842610721460043"/>
        <s v="20842610721480304"/>
        <s v="20842610721450812"/>
        <s v="20842610721440012"/>
        <s v="20842610722020016"/>
        <s v="20842610722080201"/>
        <s v="20842610722060354"/>
        <s v="20842610722090001"/>
        <s v="20842610722161003"/>
        <s v="20842610722120410"/>
        <s v="20842610722150701"/>
        <s v="20842610722130702"/>
        <s v="20842610722160035"/>
        <s v="20842610722130505"/>
        <s v="20842610700200355"/>
        <s v="20842610700200366"/>
        <s v="20842610710190001"/>
        <s v="20842610710140012"/>
        <s v="20842610620330305"/>
        <s v="20842610620320210"/>
        <s v="20842610620360360"/>
        <s v="20842610120600351"/>
        <s v="20842610120600315"/>
        <s v="20842610120601315"/>
        <s v="20842610120600311"/>
        <s v="20842610120600334"/>
        <s v="20842610120550355"/>
        <s v="20842610120580023"/>
        <s v="20842610120590001"/>
        <s v="20842610120341805"/>
        <s v="20842610120350962"/>
        <s v="20842610120360043"/>
        <s v="20842610320410302"/>
        <s v="20842610320460309"/>
        <s v="20842610320400391"/>
        <s v="20842610300110504"/>
        <s v="20842610300160334"/>
        <s v="20842610300100377"/>
        <s v="20842610320101315"/>
        <s v="20842610320100334"/>
        <s v="20842610320100388"/>
        <s v="20842610320100335"/>
        <s v="20842610320110501"/>
        <s v="20842610300200388"/>
        <s v="20842610300200333"/>
        <s v="20842610300200377"/>
        <s v="20842610020200331"/>
        <s v="20842610020230817"/>
        <s v="20842610020260070"/>
        <s v="20842610020210302"/>
        <s v="20842610020310302"/>
        <s v="20842610020360309"/>
        <s v="20842610020300344"/>
        <s v="20842610020300315"/>
        <s v="20842610020181004"/>
        <s v="20842610020150812"/>
        <s v="20842610000100355"/>
        <s v="20842610000101315"/>
        <s v="20842610820550311"/>
        <s v="20842610820570460"/>
        <s v="20842610820581004"/>
        <s v="20842610820520406"/>
        <s v="20842610820250311"/>
        <s v="20842610820250808"/>
        <s v="20842610820280821"/>
        <s v="20842610820290001"/>
        <s v="20842610820260046"/>
        <s v="20842610820350307"/>
        <s v="20842610820380821"/>
        <s v="20842610820390001"/>
        <s v="20842610820370013"/>
        <s v="20842610820420016"/>
        <s v="20842610820400388"/>
        <s v="20842610820440891"/>
        <s v="20842612320110501"/>
        <s v="20842612320100502"/>
        <s v="20842612320100488"/>
        <s v="20842610721931004"/>
        <s v="20842610721960035"/>
        <s v="20842610721930505"/>
        <s v="20842610721920218"/>
        <s v="20842610722460642"/>
        <s v="20842610722480821"/>
        <s v="20842610722260027"/>
        <s v="20842610722240952"/>
        <s v="20842610722280134"/>
        <s v="20842610722380828"/>
        <s v="20842610722360033"/>
        <s v="20842610722340044"/>
        <s v="20842610722530711"/>
        <s v="20842610722580216"/>
        <s v="20842610722560014"/>
        <s v="20842610722570029"/>
        <s v="20842610722590001"/>
        <s v="20842610700400355"/>
        <s v="20842610700400377"/>
        <s v="20842610700401315"/>
        <s v="20842610700300377"/>
        <s v="20842610700301315"/>
        <s v="20832610521540887"/>
        <s v="20832610521530817"/>
        <s v="20832610521550627"/>
        <s v="20942610720890001"/>
        <s v="20942610720870011"/>
        <s v="20942610720810718"/>
        <s v="20942610720860611"/>
        <s v="20832610521641182"/>
        <s v="20832610521600205"/>
        <s v="20832610521680764"/>
        <s v="20832614920110301"/>
        <s v="20832610021510101"/>
        <s v="20832610021520410"/>
        <s v="20832612300490001"/>
        <s v="20832612300450837"/>
        <s v="20792617402000312"/>
        <s v="20792617402000314"/>
        <s v="20792617402000333"/>
        <s v="20792617402000388"/>
        <s v="20792617402000419"/>
        <s v="20792617402001315"/>
      </sharedItems>
    </cacheField>
    <cacheField name="款色图" numFmtId="0">
      <sharedItems containsBlank="1" count="4">
        <m/>
        <s v=""/>
        <s v="蓝色"/>
        <s v=" "/>
      </sharedItems>
    </cacheField>
    <cacheField name="产品线" numFmtId="0">
      <sharedItems count="5">
        <s v="婴幼童"/>
        <s v="HOME"/>
        <s v="中童"/>
        <s v="鞋品"/>
        <s v="用品"/>
      </sharedItems>
    </cacheField>
    <cacheField name="场景" numFmtId="0">
      <sharedItems count="10">
        <s v="新生儿"/>
        <s v="HOME"/>
        <s v="幼童服装"/>
        <s v="婴童服装"/>
        <s v="日常生活-女"/>
        <s v="日常生活-男"/>
        <s v="鞋品"/>
        <s v="城市户外"/>
        <s v="高光时刻"/>
        <s v="用品"/>
      </sharedItems>
    </cacheField>
    <cacheField name="属性" numFmtId="0">
      <sharedItems count="3">
        <s v="翻单款"/>
        <s v="消化色布"/>
        <s v="专供新品"/>
      </sharedItems>
    </cacheField>
    <cacheField name="属性-销" numFmtId="0">
      <sharedItems count="2">
        <s v="翻单款"/>
        <s v="专供新品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0.7897222222" refreshedBy="shaowenhui" recordCount="1542">
  <cacheSource type="worksheet">
    <worksheetSource name="#NAME?"/>
  </cacheSource>
  <cacheFields count="68">
    <cacheField name="产品备注（含电子产品）" numFmtId="0">
      <sharedItems containsBlank="1" containsNumber="1" containsInteger="1" containsMixedTypes="1" count="3">
        <m/>
        <n v="0"/>
        <s v="闪灯"/>
      </sharedItems>
    </cacheField>
    <cacheField name="细节差异/产品规格差异/推荐岁段/包重量及容量" numFmtId="0">
      <sharedItems containsString="0" containsBlank="1" containsNonDate="0" count="1">
        <m/>
      </sharedItems>
    </cacheField>
    <cacheField name="鞋品穿着方式/帽子头围推荐" numFmtId="0">
      <sharedItems containsString="0" containsBlank="1" containsNonDate="0" count="1">
        <m/>
      </sharedItems>
    </cacheField>
    <cacheField name="特殊功能" numFmtId="0">
      <sharedItems containsString="0" containsBlank="1" containsNonDate="0" count="1">
        <m/>
      </sharedItems>
    </cacheField>
    <cacheField name="鞋品大底材质/用品材质" numFmtId="0">
      <sharedItems containsString="0" containsBlank="1" containsNonDate="0" count="1">
        <m/>
      </sharedItems>
    </cacheField>
    <cacheField name="同款/通码/拼链接/拼码段" numFmtId="0">
      <sharedItems containsString="0" containsBlank="1" containsNonDate="0" count="1">
        <m/>
      </sharedItems>
    </cacheField>
    <cacheField name="老款号" numFmtId="0">
      <sharedItems containsString="0" containsBlank="1" containsNonDate="0" count="1">
        <m/>
      </sharedItems>
    </cacheField>
    <cacheField name="是否拼入老款号" numFmtId="0">
      <sharedItems containsString="0" containsBlank="1" containsNonDate="0" count="1">
        <m/>
      </sharedItems>
    </cacheField>
    <cacheField name="拼款（唯品）" numFmtId="0">
      <sharedItems containsString="0" containsBlank="1" containsNonDate="0" count="1">
        <m/>
      </sharedItems>
    </cacheField>
    <cacheField name="拼款（抖音）" numFmtId="0">
      <sharedItems containsString="0" containsBlank="1" containsNonDate="0" count="1">
        <m/>
      </sharedItems>
    </cacheField>
    <cacheField name="上新备注_x000a_（产品）" numFmtId="0">
      <sharedItems containsString="0" containsBlank="1" containsNonDate="0" count="1">
        <m/>
      </sharedItems>
    </cacheField>
    <cacheField name="上新备注（O2O）" numFmtId="0">
      <sharedItems containsString="0" containsBlank="1" containsNonDate="0" count="1">
        <m/>
      </sharedItems>
    </cacheField>
    <cacheField name="是否新建链接" numFmtId="0">
      <sharedItems containsString="0" containsBlank="1" containsNonDate="0" count="1">
        <m/>
      </sharedItems>
    </cacheField>
    <cacheField name="翻单款式备注（调整/原版）" numFmtId="0">
      <sharedItems containsString="0" containsBlank="1" containsNonDate="0" count="1">
        <m/>
      </sharedItems>
    </cacheField>
    <cacheField name="企划对接人" numFmtId="0">
      <sharedItems count="6">
        <s v="梅雨霖"/>
        <s v="魏艳珍"/>
        <s v="林荫"/>
        <s v="张磊"/>
        <s v="文慧"/>
        <s v="何卫彬"/>
      </sharedItems>
    </cacheField>
    <cacheField name="样衣需求提交时间" numFmtId="177">
      <sharedItems containsString="0" containsBlank="1" containsNonDate="0" containsDate="1" minDate="2026-03-18T00:00:00" maxDate="2026-03-18T00:00:00" count="2">
        <d v="2026-03-18T00:00:00"/>
        <m/>
      </sharedItems>
    </cacheField>
    <cacheField name="下单批次" numFmtId="0">
      <sharedItems containsBlank="1" count="3">
        <m/>
        <s v="取消"/>
        <s v="新增"/>
      </sharedItems>
    </cacheField>
    <cacheField name="下单日期" numFmtId="177">
      <sharedItems containsSemiMixedTypes="0" containsString="0" containsNonDate="0" containsDate="1" minDate="2026-03-13T00:00:00" maxDate="2026-03-18T00:00:00" count="2">
        <d v="2026-03-13T00:00:00"/>
        <d v="2026-03-18T00:00:00"/>
      </sharedItems>
    </cacheField>
    <cacheField name="产品季" numFmtId="0">
      <sharedItems count="3">
        <s v="326"/>
        <s v="426"/>
        <s v="926"/>
      </sharedItems>
    </cacheField>
    <cacheField name="大货款号" numFmtId="0">
      <sharedItems count="1011">
        <s v="200326105103"/>
        <s v="200326105104"/>
        <s v="200326105107"/>
        <s v="200326105003"/>
        <s v="200326105004"/>
        <s v="200326105008"/>
        <s v="200326105101"/>
        <s v="200326105102"/>
        <s v="200326105105"/>
        <s v="200326105001"/>
        <s v="200326105002"/>
        <s v="200326105005"/>
        <s v="200326105006"/>
        <s v="200326101101"/>
        <s v="200326101103"/>
        <s v="200326101002"/>
        <s v="200326101003"/>
        <s v="200326101102"/>
        <s v="200326101001"/>
        <s v="200326101201"/>
        <s v="200326103103"/>
        <s v="200326103003"/>
        <s v="200326103004"/>
        <s v="200326103005"/>
        <s v="200326103101"/>
        <s v="200326103001"/>
        <s v="200326103002"/>
        <s v="200326100103"/>
        <s v="200326100104"/>
        <s v="200326100105"/>
        <s v="200326100106"/>
        <s v="200326100003"/>
        <s v="200326100004"/>
        <s v="200326100005"/>
        <s v="200326100006"/>
        <s v="200326100008"/>
        <s v="200326100201"/>
        <s v="200326100101"/>
        <s v="200326100102"/>
        <s v="200326100001"/>
        <s v="200326100002"/>
        <s v="200326121002"/>
        <s v="200326121101"/>
        <s v="200326121102"/>
        <s v="200326121001"/>
        <s v="200326117101"/>
        <s v="200326117001"/>
        <s v="200326102101"/>
        <s v="200326102102"/>
        <s v="200326102002"/>
        <s v="200326102003"/>
        <s v="200326102001"/>
        <s v="200326122101"/>
        <s v="200326122001"/>
        <s v="200326104107"/>
        <s v="200326104009"/>
        <s v="200326104102"/>
        <s v="200326104103"/>
        <s v="200326104105"/>
        <s v="200326104106"/>
        <s v="200326104002"/>
        <s v="200326104004"/>
        <s v="200326104005"/>
        <s v="200326104008"/>
        <s v="200326104201"/>
        <s v="200326104101"/>
        <s v="200326104104"/>
        <s v="200326104001"/>
        <s v="200326104006"/>
        <s v="200326104007"/>
        <s v="200326108103"/>
        <s v="200326108104"/>
        <s v="200326108106"/>
        <s v="200326108107"/>
        <s v="200326108108"/>
        <s v="200326108002"/>
        <s v="200326108003"/>
        <s v="200326108004"/>
        <s v="200326108006"/>
        <s v="200326108202"/>
        <s v="200326108101"/>
        <s v="200326108102"/>
        <s v="200326108105"/>
        <s v="200326108001"/>
        <s v="200326108005"/>
        <s v="200326108201"/>
        <s v="200326123002"/>
        <s v="200326123003"/>
        <s v="200326123001"/>
        <s v="200326110101"/>
        <s v="200326110001"/>
        <s v="200326110002"/>
        <s v="200326111001"/>
        <s v="200326111002"/>
        <s v="200326120103"/>
        <s v="200326120104"/>
        <s v="200326120001"/>
        <s v="200326120002"/>
        <s v="200326120003"/>
        <s v="200326120004"/>
        <s v="200326120201"/>
        <s v="200326120202"/>
        <s v="200326120101"/>
        <s v="200326120102"/>
        <s v="200326120105"/>
        <s v="200326120005"/>
        <s v="200326120204"/>
        <s v="200326133001"/>
        <s v="200326133002"/>
        <s v="200326133202"/>
        <s v="200326133203"/>
        <s v="200326133204"/>
        <s v="200326133205"/>
        <s v="200326133206"/>
        <s v="200326133207"/>
        <s v="200326133208"/>
        <s v="200326133209"/>
        <s v="200326133211"/>
        <s v="200326133201"/>
        <s v="200326133210"/>
        <s v="200326137201"/>
        <s v="200326137202"/>
        <s v="200326131201"/>
        <s v="200326134201"/>
        <s v="200326134202"/>
        <s v="200326134203"/>
        <s v="200326132201"/>
        <s v="200326156201"/>
        <s v="200326156202"/>
        <s v="200326156203"/>
        <s v="200326181201"/>
        <s v="200326181202"/>
        <s v="200326181203"/>
        <s v="200326181204"/>
        <s v="200326181205"/>
        <s v="200426108201"/>
        <s v="200426105202"/>
        <s v="200426105201"/>
        <s v="200426101202"/>
        <s v="200426101201"/>
        <s v="200426100202"/>
        <s v="200426100201"/>
        <s v="200426103201"/>
        <s v="200426120202"/>
        <s v="200426120201"/>
        <s v="200426120203"/>
        <s v="200426133201"/>
        <s v="200426131201"/>
        <s v="200926132201"/>
        <s v="200926137202"/>
        <s v="200926133202"/>
        <s v="200926133201"/>
        <s v="200926180209"/>
        <s v="200926180202"/>
        <s v="200926180201"/>
        <s v="200926131202"/>
        <s v="200926131201"/>
        <s v="200926134202"/>
        <s v="200926180294"/>
        <s v="200926180295"/>
        <s v="200926180296"/>
        <s v="200326111004"/>
        <s v="200326120106"/>
        <s v="201326105001"/>
        <s v="201326105002"/>
        <s v="201326105109"/>
        <s v="201326105103"/>
        <s v="201326105101"/>
        <s v="201326105102"/>
        <s v="201326105105"/>
        <s v="201326105104"/>
        <s v="201326105003"/>
        <s v="201326105010"/>
        <s v="201426107203"/>
        <s v="201326105005"/>
        <s v="201326105006"/>
        <s v="201326105004"/>
        <s v="201326105108"/>
        <s v="201326105110"/>
        <s v="201326105106"/>
        <s v="201326105111"/>
        <s v="201326105112"/>
        <s v="201326105107"/>
        <s v="201326105011"/>
        <s v="201326105113"/>
        <s v="201426105202"/>
        <s v="201426105201"/>
        <s v="201426106202"/>
        <s v="201426106201"/>
        <s v="201426107206"/>
        <s v="201426107205"/>
        <s v="201426107204"/>
        <s v="201426107202"/>
        <s v="201426107201"/>
        <s v="201326101001"/>
        <s v="201326101105"/>
        <s v="201326101104"/>
        <s v="201326101101"/>
        <s v="201326101106"/>
        <s v="201326101103"/>
        <s v="201426101203"/>
        <s v="201426101202"/>
        <s v="201426101201"/>
        <s v="201326122002"/>
        <s v="201326122102"/>
        <s v="201326122001"/>
        <s v="201326122101"/>
        <s v="201326111001"/>
        <s v="201326111006"/>
        <s v="201326111009"/>
        <s v="201326111002"/>
        <s v="201326111008"/>
        <s v="201326111003"/>
        <s v="201326111007"/>
        <s v="201326111004"/>
        <s v="201326112001"/>
        <s v="201326112003"/>
        <s v="201326112002"/>
        <s v="201326104002"/>
        <s v="201326104102"/>
        <s v="201326104011"/>
        <s v="201326102006"/>
        <s v="201326104005"/>
        <s v="201326104004"/>
        <s v="201326104007"/>
        <s v="201326104107"/>
        <s v="201326104106"/>
        <s v="201326104105"/>
        <s v="201326104001"/>
        <s v="201326104003"/>
        <s v="201326104103"/>
        <s v="201326104101"/>
        <s v="201326103004"/>
        <s v="201326103001"/>
        <s v="201326103101"/>
        <s v="201326103002"/>
        <s v="201326103005"/>
        <s v="201326103003"/>
        <s v="201326103102"/>
        <s v="201426103201"/>
        <s v="201326100005"/>
        <s v="201326100003"/>
        <s v="201326100009"/>
        <s v="201326100006"/>
        <s v="201326100008"/>
        <s v="201326100004"/>
        <s v="201326100013"/>
        <s v="201326100007"/>
        <s v="201326100001"/>
        <s v="201326100101"/>
        <s v="201326100113"/>
        <s v="201326100104"/>
        <s v="201326100108"/>
        <s v="201326100111"/>
        <s v="201326100110"/>
        <s v="201326100103"/>
        <s v="201326100109"/>
        <s v="201326100014"/>
        <s v="201326121003"/>
        <s v="201326100011"/>
        <s v="201326100002"/>
        <s v="201326100106"/>
        <s v="201326100107"/>
        <s v="201326100112"/>
        <s v="201426100201"/>
        <s v="201326121004"/>
        <s v="201326121001"/>
        <s v="201326121005"/>
        <s v="201326121002"/>
        <s v="201326121104"/>
        <s v="201326121103"/>
        <s v="201326121102"/>
        <s v="201326121105"/>
        <s v="201326117002"/>
        <s v="201326117001"/>
        <s v="201326117102"/>
        <s v="201326117101"/>
        <s v="201326102004"/>
        <s v="201326102001"/>
        <s v="201326102002"/>
        <s v="201326102003"/>
        <s v="201326102105"/>
        <s v="201326102102"/>
        <s v="201326102104"/>
        <s v="201326102101"/>
        <s v="201326102103"/>
        <s v="201326102005"/>
        <s v="201426102201"/>
        <s v="201326118102"/>
        <s v="201326108003"/>
        <s v="201326108001"/>
        <s v="201326108010"/>
        <s v="201326108002"/>
        <s v="201326108014"/>
        <s v="201326108016"/>
        <s v="201326108008"/>
        <s v="201326108004"/>
        <s v="201326108017"/>
        <s v="201326108006"/>
        <s v="201326108015"/>
        <s v="201326108104"/>
        <s v="201326108110"/>
        <s v="201326108102"/>
        <s v="201326108115"/>
        <s v="201326108109"/>
        <s v="201326108103"/>
        <s v="201326108116"/>
        <s v="201326108120"/>
        <s v="201326108119"/>
        <s v="201326108111"/>
        <s v="201326108107"/>
        <s v="201326108201"/>
        <s v="201326108101"/>
        <s v="201326108005"/>
        <s v="201326108011"/>
        <s v="201326108019"/>
        <s v="201326108012"/>
        <s v="201326108108"/>
        <s v="201326108105"/>
        <s v="201326108112"/>
        <s v="201326108113"/>
        <s v="201326108013"/>
        <s v="201326108114"/>
        <s v="201426108002"/>
        <s v="201426108001"/>
        <s v="201426108205"/>
        <s v="201426108204"/>
        <s v="201426108203"/>
        <s v="201426108201"/>
        <s v="201326109001"/>
        <s v="201326109101"/>
        <s v="201326123001"/>
        <s v="201326123002"/>
        <s v="201326123003"/>
        <s v="202326102201"/>
        <s v="202326102202"/>
        <s v="202326102106"/>
        <s v="202326102105"/>
        <s v="202326102108"/>
        <s v="202326102109"/>
        <s v="202326102107"/>
        <s v="202326105125"/>
        <s v="202326105122"/>
        <s v="202326105123"/>
        <s v="202326105126"/>
        <s v="202326105120"/>
        <s v="202326105124"/>
        <s v="202326105119"/>
        <s v="202326105118"/>
        <s v="202326122103"/>
        <s v="202326117104"/>
        <s v="202326117105"/>
        <s v="202326117106"/>
        <s v="202326117103"/>
        <s v="202326100202"/>
        <s v="202326100201"/>
        <s v="202326100116"/>
        <s v="202326100114"/>
        <s v="202326100112"/>
        <s v="202326100113"/>
        <s v="202326100115"/>
        <s v="202326100117"/>
        <s v="202326121117"/>
        <s v="202326100118"/>
        <s v="202326121115"/>
        <s v="202326121114"/>
        <s v="202326121113"/>
        <s v="202326121116"/>
        <s v="202326121111"/>
        <s v="202326103104"/>
        <s v="202326103201"/>
        <s v="202326101104"/>
        <s v="202326104109"/>
        <s v="202326104107"/>
        <s v="202326104108"/>
        <s v="202326104110"/>
        <s v="202326109105"/>
        <s v="202326109104"/>
        <s v="202326108201"/>
        <s v="202326108130"/>
        <s v="202326108124"/>
        <s v="202326108122"/>
        <s v="202326108121"/>
        <s v="202326108123"/>
        <s v="202326108120"/>
        <s v="202326108128"/>
        <s v="202326108126"/>
        <s v="202326108127"/>
        <s v="202326108129"/>
        <s v="202326108125"/>
        <s v="202326108133"/>
        <s v="202326108131"/>
        <s v="202326108132"/>
        <s v="202426107205"/>
        <s v="202426107206"/>
        <s v="202426107203"/>
        <s v="202426107202"/>
        <s v="202426107204"/>
        <s v="202426101201"/>
        <s v="202426101203"/>
        <s v="202426101202"/>
        <s v="202426105202"/>
        <s v="202426103201"/>
        <s v="202426121201"/>
        <s v="202426100202"/>
        <s v="202426108202"/>
        <s v="202426108203"/>
        <s v="202326112015"/>
        <s v="202326105016"/>
        <s v="202326105017"/>
        <s v="202326105018"/>
        <s v="202326105020"/>
        <s v="202326105021"/>
        <s v="202326105022"/>
        <s v="202326103009"/>
        <s v="202326103010"/>
        <s v="202326103011"/>
        <s v="202326103012"/>
        <s v="202326121008"/>
        <s v="202326121009"/>
        <s v="202326121010"/>
        <s v="202326121011"/>
        <s v="202326121012"/>
        <s v="202326121013"/>
        <s v="202326121014"/>
        <s v="202326100017"/>
        <s v="202326100018"/>
        <s v="202326100019"/>
        <s v="202326100020"/>
        <s v="202326100021"/>
        <s v="202326100022"/>
        <s v="202326100023"/>
        <s v="202326100024"/>
        <s v="202326100025"/>
        <s v="202326117006"/>
        <s v="202326102007"/>
        <s v="202326102008"/>
        <s v="202326102009"/>
        <s v="202326102010"/>
        <s v="202326108033"/>
        <s v="202326117003"/>
        <s v="202326117005"/>
        <s v="202326118001"/>
        <s v="202326122004"/>
        <s v="202326122005"/>
        <s v="202326122006"/>
        <s v="202326112011"/>
        <s v="202326112012"/>
        <s v="202326112013"/>
        <s v="202326112014"/>
        <s v="202326111018"/>
        <s v="202326110001"/>
        <s v="202326109001"/>
        <s v="202326108020"/>
        <s v="202326108021"/>
        <s v="202326108022"/>
        <s v="202326108023"/>
        <s v="202326108024"/>
        <s v="202326108025"/>
        <s v="202326108026"/>
        <s v="202326108028"/>
        <s v="202326108029"/>
        <s v="202326108030"/>
        <s v="202326108031"/>
        <s v="202326104012"/>
        <s v="202326104013"/>
        <s v="202326104014"/>
        <s v="202326104015"/>
        <s v="202326104016"/>
        <s v="202326104017"/>
        <s v="202326112027"/>
        <s v="202326101004"/>
        <s v="202326105201"/>
        <s v="202326108018"/>
        <s v="202326108016"/>
        <s v="202326108015"/>
        <s v="202326108014"/>
        <s v="202326105015"/>
        <s v="202326105014"/>
        <s v="202326101003"/>
        <s v="202326112010"/>
        <s v="202326121007"/>
        <s v="202326100015"/>
        <s v="202326100014"/>
        <s v="202326100013"/>
        <s v="202326100012"/>
        <s v="202326100011"/>
        <s v="202326105012"/>
        <s v="202326100010"/>
        <s v="202326121006"/>
        <s v="202326121005"/>
        <s v="202326121004"/>
        <s v="202326121003"/>
        <s v="202326117002"/>
        <s v="202326104008"/>
        <s v="202326104007"/>
        <s v="202326104005"/>
        <s v="202326108012"/>
        <s v="202326108011"/>
        <s v="202326108010"/>
        <s v="202326105013"/>
        <s v="202326105011"/>
        <s v="202326105010"/>
        <s v="202326105009"/>
        <s v="202326105008"/>
        <s v="202326105007"/>
        <s v="202326112009"/>
        <s v="202326108119"/>
        <s v="202326108117"/>
        <s v="202326108116"/>
        <s v="202326108115"/>
        <s v="202326105117"/>
        <s v="202326105116"/>
        <s v="202326105115"/>
        <s v="202326101102"/>
        <s v="202326117102"/>
        <s v="202326121110"/>
        <s v="202326100111"/>
        <s v="202326100110"/>
        <s v="202326100109"/>
        <s v="202326100108"/>
        <s v="202326100107"/>
        <s v="202326100106"/>
        <s v="202326100105"/>
        <s v="202326121108"/>
        <s v="202326121105"/>
        <s v="202326121104"/>
        <s v="202326117101"/>
        <s v="202326104105"/>
        <s v="202326104104"/>
        <s v="202326109102"/>
        <s v="202326108111"/>
        <s v="202326108110"/>
        <s v="202326108109"/>
        <s v="202326105114"/>
        <s v="202326105113"/>
        <s v="202326105112"/>
        <s v="202326105111"/>
        <s v="202326105110"/>
        <s v="202326105109"/>
        <s v="202326105108"/>
        <s v="202326105129"/>
        <s v="202326105107"/>
        <s v="202326101101"/>
        <s v="202426108201"/>
        <s v="202426100201"/>
        <s v="202426107201"/>
        <s v="202426106201"/>
        <s v="202326105102"/>
        <s v="202326105101"/>
        <s v="202326103103"/>
        <s v="202326103101"/>
        <s v="202326102104"/>
        <s v="202326102103"/>
        <s v="202326122101"/>
        <s v="202326100102"/>
        <s v="202326100103"/>
        <s v="202326100104"/>
        <s v="202326100101"/>
        <s v="202326121103"/>
        <s v="202326121102"/>
        <s v="202326121101"/>
        <s v="202326104103"/>
        <s v="202326108106"/>
        <s v="202326108103"/>
        <s v="202326108101"/>
        <s v="202326108108"/>
        <s v="202326105105"/>
        <s v="202326105104"/>
        <s v="202326103102"/>
        <s v="202326122102"/>
        <s v="202326102101"/>
        <s v="202326102102"/>
        <s v="202326108102"/>
        <s v="202326105004"/>
        <s v="202326105001"/>
        <s v="202326104023"/>
        <s v="202326103003"/>
        <s v="202326103001"/>
        <s v="202326103004"/>
        <s v="202326103002"/>
        <s v="202326122002"/>
        <s v="202326102006"/>
        <s v="202326102003"/>
        <s v="202326102002"/>
        <s v="202326100006"/>
        <s v="202326100005"/>
        <s v="202326100004"/>
        <s v="202326100003"/>
        <s v="202326102014"/>
        <s v="202326100001"/>
        <s v="202326121002"/>
        <s v="202326111016"/>
        <s v="202326111004"/>
        <s v="202326111015"/>
        <s v="202326111006"/>
        <s v="202326111005"/>
        <s v="202326104003"/>
        <s v="202326104001"/>
        <s v="202326112003"/>
        <s v="202326112001"/>
        <s v="202326123002"/>
        <s v="202326123001"/>
        <s v="202326108004"/>
        <s v="202326108008"/>
        <s v="202326108007"/>
        <s v="202326108006"/>
        <s v="202326105002"/>
        <s v="202326103007"/>
        <s v="202326103005"/>
        <s v="202326103006"/>
        <s v="202326122001"/>
        <s v="202326101002"/>
        <s v="202326102001"/>
        <s v="202326102004"/>
        <s v="202326100008"/>
        <s v="202326100007"/>
        <s v="202326100009"/>
        <s v="202326111014"/>
        <s v="202326111009"/>
        <s v="202326111001"/>
        <s v="202326111017"/>
        <s v="202326111008"/>
        <s v="202326112005"/>
        <s v="202326112007"/>
        <s v="202326112006"/>
        <s v="202326108003"/>
        <s v="202326108001"/>
        <s v="202326108002"/>
        <s v="202326111011"/>
        <s v="202326111013"/>
        <s v="202326111010"/>
        <s v="202326101001"/>
        <s v="202326102005"/>
        <s v="202326112002"/>
        <s v="202326111002"/>
        <s v="202326111003"/>
        <s v="206326169201"/>
        <s v="206326169013"/>
        <s v="206326169012"/>
        <s v="206326169010"/>
        <s v="206326169009"/>
        <s v="206326169002"/>
        <s v="206326169001"/>
        <s v="206326169021"/>
        <s v="206326169005"/>
        <s v="206326169008"/>
        <s v="206326169020"/>
        <s v="206326169019"/>
        <s v="206326169018"/>
        <s v="206326169017"/>
        <s v="206326169006"/>
        <s v="206326169016"/>
        <s v="206326171016"/>
        <s v="206326171014"/>
        <s v="206326171013"/>
        <s v="206326171011"/>
        <s v="206326171010"/>
        <s v="206326171009"/>
        <s v="206326171008"/>
        <s v="206326171007"/>
        <s v="206326171006"/>
        <s v="206326171005"/>
        <s v="206326171003"/>
        <s v="206326195007"/>
        <s v="206326195006"/>
        <s v="206326195004"/>
        <s v="206326195003"/>
        <s v="206326195002"/>
        <s v="206326195001"/>
        <s v="206326170015"/>
        <s v="206326170013"/>
        <s v="206326170012"/>
        <s v="206326170011"/>
        <s v="206326170010"/>
        <s v="206326170008"/>
        <s v="206326170007"/>
        <s v="206326170006"/>
        <s v="206326169104"/>
        <s v="206326169112"/>
        <s v="206326169101"/>
        <s v="206326169113"/>
        <s v="206326169111"/>
        <s v="206326169110"/>
        <s v="206326169109"/>
        <s v="206326169103"/>
        <s v="206326169102"/>
        <s v="206326171107"/>
        <s v="206326171106"/>
        <s v="206326171104"/>
        <s v="206326171103"/>
        <s v="206326170110"/>
        <s v="206326170109"/>
        <s v="206326170108"/>
        <s v="206326170107"/>
        <s v="206326170106"/>
        <s v="206326169015"/>
        <s v="206326169014"/>
        <s v="206326171002"/>
        <s v="206326171001"/>
        <s v="206326170001"/>
        <s v="206326170005"/>
        <s v="206326170004"/>
        <s v="206326170003"/>
        <s v="206326170002"/>
        <s v="206326169105"/>
        <s v="206326169108"/>
        <s v="206326169107"/>
        <s v="206326169106"/>
        <s v="206326171102"/>
        <s v="206326171101"/>
        <s v="206326170105"/>
        <s v="206326170104"/>
        <s v="206326170103"/>
        <s v="206326170102"/>
        <s v="206326170101"/>
        <s v="206426169201"/>
        <s v="206426171201"/>
        <s v="206426169005"/>
        <s v="206426169004"/>
        <s v="206426169003"/>
        <s v="206426169002"/>
        <s v="206426169104"/>
        <s v="206426169103"/>
        <s v="206426169102"/>
        <s v="206426169001"/>
        <s v="206426169101"/>
        <s v="206326171017"/>
        <s v="206926195004"/>
        <s v="206926195002"/>
        <s v="206926195006"/>
        <s v="206926195005"/>
        <s v="206926172201"/>
        <s v="206926172001"/>
        <s v="206926172002"/>
        <s v="206926172003"/>
        <s v="206926172004"/>
        <s v="206326172101"/>
        <s v="206326172001"/>
        <s v="206326172201"/>
        <s v="206326172002"/>
        <s v="206326172202"/>
        <s v="206326172102"/>
        <s v="206326172103"/>
        <s v="206326172003"/>
        <s v="206326172104"/>
        <s v="206326172004"/>
        <s v="206326172105"/>
        <s v="206326172005"/>
        <s v="206326172106"/>
        <s v="206326172006"/>
        <s v="206326172107"/>
        <s v="206326172007"/>
        <s v="206326172108"/>
        <s v="206326172109"/>
        <s v="206326172008"/>
        <s v="206326172110"/>
        <s v="206326172009"/>
        <s v="206326172010"/>
        <s v="206326172011"/>
        <s v="206326172012"/>
        <s v="206326172013"/>
        <s v="206326172014"/>
        <s v="206326172015"/>
        <s v="206326172016"/>
        <s v="206326172018"/>
        <s v="206326172019"/>
        <s v="206326172020"/>
        <s v="206326172021"/>
        <s v="206326172111"/>
        <s v="206326172022"/>
        <s v="206326172112"/>
        <s v="206326172024"/>
        <s v="206326172025"/>
        <s v="206326172026"/>
        <s v="206326172203"/>
        <s v="206326172204"/>
        <s v="206326172113"/>
        <s v="206326172027"/>
        <s v="206326172028"/>
        <s v="206326172032"/>
        <s v="206326172209"/>
        <s v="206326172211"/>
        <s v="206326172034"/>
        <s v="206326172038"/>
        <s v="206326172215"/>
        <s v="206326172219"/>
        <s v="207326166201"/>
        <s v="207326166210"/>
        <s v="207326166202"/>
        <s v="207326166203"/>
        <s v="207326166204"/>
        <s v="207326166001"/>
        <s v="207326166002"/>
        <s v="207326166003"/>
        <s v="207326166101"/>
        <s v="207326166005"/>
        <s v="207326166103"/>
        <s v="207326166006"/>
        <s v="207326166104"/>
        <s v="207326166105"/>
        <s v="207326166007"/>
        <s v="207326166106"/>
        <s v="207326166008"/>
        <s v="207326166107"/>
        <s v="207326166010"/>
        <s v="207326166109"/>
        <s v="207326166110"/>
        <s v="207326166011"/>
        <s v="207326166205"/>
        <s v="207326166206"/>
        <s v="207326166012"/>
        <s v="207326166014"/>
        <s v="207326166015"/>
        <s v="207326166016"/>
        <s v="207326166207"/>
        <s v="207326166208"/>
        <s v="207326166215"/>
        <s v="207326166209"/>
        <s v="207326166211"/>
        <s v="207326160201"/>
        <s v="207326160202"/>
        <s v="207326160203"/>
        <s v="207326160001"/>
        <s v="207326160204"/>
        <s v="207326160213"/>
        <s v="207326160205"/>
        <s v="207326160101"/>
        <s v="207326160206"/>
        <s v="207326160002"/>
        <s v="207326160003"/>
        <s v="207326160102"/>
        <s v="207326160208"/>
        <s v="207326160209"/>
        <s v="207326160103"/>
        <s v="207326160006"/>
        <s v="207326160104"/>
        <s v="207326160007"/>
        <s v="207326160105"/>
        <s v="207326160011"/>
        <s v="207326174001"/>
        <s v="207326174002"/>
        <s v="207326174003"/>
        <s v="207326174004"/>
        <s v="207326174005"/>
        <s v="207326174007"/>
        <s v="207326174009"/>
        <s v="207326174010"/>
        <s v="207326174011"/>
        <s v="207326174012"/>
        <s v="207326174013"/>
        <s v="207326174014"/>
        <s v="207326174015"/>
        <s v="207326174016"/>
        <s v="207326174017"/>
        <s v="207326174018"/>
        <s v="207326174019"/>
        <s v="207326174020"/>
        <s v="207326174022"/>
        <s v="207326174023"/>
        <s v="207326174024"/>
        <s v="207326174025"/>
        <s v="207326174026"/>
        <s v="207326174027"/>
        <s v="207326174028"/>
        <s v="207326174029"/>
        <s v="207326174030"/>
        <s v="207326174031"/>
        <s v="207326174201"/>
        <s v="207326174032"/>
        <s v="207326174033"/>
        <s v="207326174034"/>
        <s v="207326174035"/>
        <s v="207326174101"/>
        <s v="207326174036"/>
        <s v="207326174037"/>
        <s v="207326174040"/>
        <s v="207326174102"/>
        <s v="207326174042"/>
        <s v="207326174203"/>
        <s v="207326174204"/>
        <s v="207926178204"/>
        <s v="207926178205"/>
        <s v="207326174043"/>
        <s v="207326174044"/>
        <s v="207326174103"/>
        <s v="207326174208"/>
        <s v="207326174046"/>
        <s v="207326179001"/>
        <s v="207326179002"/>
        <s v="207326179101"/>
        <s v="207326179102"/>
        <s v="207326179004"/>
        <s v="207326179104"/>
        <s v="204326146101"/>
        <s v="204326146001"/>
        <s v="204326146002"/>
        <s v="204326146102"/>
        <s v="204326146103"/>
        <s v="204326146003"/>
        <s v="204326146104"/>
        <s v="204326146004"/>
        <s v="204326146105"/>
        <s v="204326146005"/>
        <s v="204326146106"/>
        <s v="204326146006"/>
        <s v="204326146107"/>
        <s v="204326146008"/>
        <s v="204326146009"/>
        <s v="204326146108"/>
        <s v="204326146010"/>
        <s v="204326146109"/>
        <s v="204326146110"/>
        <s v="204326146011"/>
        <s v="204326146113"/>
        <s v="204326146014"/>
        <s v="204326146114"/>
        <s v="204326146016"/>
        <s v="204326146115"/>
        <s v="204326146017"/>
        <s v="204326146116"/>
        <s v="204326146018"/>
        <s v="204326146117"/>
        <s v="204326146019"/>
        <s v="204326146021"/>
        <s v="204326140101"/>
        <s v="204326140199"/>
        <s v="204326140102"/>
        <s v="204326140126"/>
        <s v="204326140103"/>
        <s v="204326140001"/>
        <s v="204326140026"/>
        <s v="204326140003"/>
        <s v="204326140004"/>
        <s v="204326140005"/>
        <s v="204326140007"/>
        <s v="204326140008"/>
        <s v="204326140010"/>
        <s v="204326140011"/>
        <s v="204326140012"/>
        <s v="204326140013"/>
        <s v="204326140104"/>
        <s v="204326140105"/>
        <s v="204326141001"/>
        <s v="204326141002"/>
        <s v="204326141003"/>
        <s v="204326141004"/>
        <s v="204326141005"/>
        <s v="204326141007"/>
        <s v="204326141008"/>
        <s v="204326141009"/>
        <s v="204326141010"/>
        <s v="204326141011"/>
        <s v="204326141012"/>
        <s v="204326141013"/>
        <s v="204326141017"/>
        <s v="204326141101"/>
        <s v="204326141103"/>
        <s v="204326141104"/>
        <s v="204326141105"/>
        <s v="204326141106"/>
        <s v="204326141108"/>
        <s v="204326141019"/>
        <s v="204326141020"/>
        <s v="204326141021"/>
        <s v="204326141030"/>
        <s v="204326141026"/>
        <s v="204326141197"/>
        <s v="204326141096"/>
        <s v="204326140106"/>
        <s v="204326140107"/>
        <s v="204326140108"/>
        <s v="204326140109"/>
        <s v="204326140014"/>
        <s v="204326140110"/>
        <s v="204326140006"/>
        <s v="204326140027"/>
        <s v="204326140111"/>
        <s v="204326140112"/>
        <s v="204326140016"/>
        <s v="204326140113"/>
        <s v="204326140114"/>
        <s v="204326140017"/>
        <s v="204326140116"/>
        <s v="204326140117"/>
        <s v="204326140118"/>
        <s v="204326140195"/>
        <s v="204326140194"/>
        <s v="204326140020"/>
        <s v="204326140121"/>
        <s v="204326140125"/>
        <s v="204326140021"/>
        <s v="204326140022"/>
        <s v="204326140028"/>
        <s v="204326140024"/>
        <s v="204326140122"/>
        <s v="204326140123"/>
        <s v="204326140025"/>
        <s v="204426146005"/>
        <s v="204426146105"/>
        <s v="204426146006"/>
        <s v="204426141001"/>
        <s v="204426141002"/>
        <s v="204426141003"/>
        <s v="204426141101"/>
        <s v="204426141102"/>
        <s v="204426140101"/>
        <s v="204426140001"/>
        <s v="204426140103"/>
        <s v="204426140003"/>
        <s v="204926141109"/>
      </sharedItems>
    </cacheField>
    <cacheField name="版单号/" numFmtId="0">
      <sharedItems count="985">
        <s v="326FB-BS-502"/>
        <s v="326FB-BS-503"/>
        <s v="326FB-BZ-504"/>
        <s v="326FB-GS-502"/>
        <s v="326FB-GS-503"/>
        <s v="326FB-GZ-503"/>
        <s v="326FB-BS-501"/>
        <s v="326FB-BS-501B"/>
        <s v="326FB-BZ-502"/>
        <s v="326FB-GS-501"/>
        <s v="326FB-GS-501B"/>
        <s v="326FB-GZ-501"/>
        <s v="326FB-GZ-501B"/>
        <s v="326FB-BM-401"/>
        <s v="326FB-BM-403"/>
        <s v="326FB-GM-403"/>
        <s v="326FB-GM-404"/>
        <s v="326FB-BM-402"/>
        <s v="326FB-GM-401"/>
        <s v="326FB-UZ-407"/>
        <s v="326FB-BM-103"/>
        <s v="326FB-GM-103"/>
        <s v="326FB-GM-104"/>
        <s v="326FB-GM-105"/>
        <s v="326FB-BM-101"/>
        <s v="326FB-GM-101"/>
        <s v="326FB-GM-102"/>
        <s v="326FB-BZ-105"/>
        <s v="326FB-BZ-106"/>
        <s v="326FB-BZ-107"/>
        <s v="326FB-BZ-108"/>
        <s v="326FB-GZ-104"/>
        <s v="326FB-GZ-105"/>
        <s v="326FB-GZ-106"/>
        <s v="326FB-GZ-107"/>
        <s v="326FB-GZ-109"/>
        <s v="326FB-UZ-109"/>
        <s v="326FB-BZ-101"/>
        <s v="326FB-BZ-103"/>
        <s v="326FB-GZ-101"/>
        <s v="326FB-GZ-102"/>
        <s v="326FB-GZ-107B"/>
        <s v="326FB-BZ-101B"/>
        <s v="326FB-BZ-102"/>
        <s v="326FB-GZ-103"/>
        <s v="326FB-BZ-109"/>
        <s v="326FB-GZ-110"/>
        <s v="326FB-BS-201"/>
        <s v="326FB-BS-202"/>
        <s v="326FB-GS-203"/>
        <s v="326FB-GS-203C"/>
        <s v="326FB-GS-201"/>
        <s v="326FB-BZ-401"/>
        <s v="326FB-GS-401"/>
        <s v="326FB-BZ-004"/>
        <s v="326FB-GS-005"/>
        <s v="326FB-BS-002B"/>
        <s v="326FB-BS-003"/>
        <s v="326FB-BZ-001B"/>
        <s v="326FB-BZ-003"/>
        <s v="326FB-GS-003"/>
        <s v="326FB-GS-301B"/>
        <s v="326FB-GZ-001"/>
        <s v="326FB-GZ-004"/>
        <s v="326FB-UZ-002"/>
        <s v="326FB-BS-001"/>
        <s v="326FB-BZ-001"/>
        <s v="326FB-GN-001"/>
        <s v="326FB-GZ-001C"/>
        <s v="326FB-GZ-001D"/>
        <s v="326FB-BS-802"/>
        <s v="326FB-BS-803"/>
        <s v="326FB-BZ-803"/>
        <s v="326FB-BZ-804"/>
        <s v="326FB-BZ-805"/>
        <s v="326FB-GS-803"/>
        <s v="326FB-GS-804"/>
        <s v="326FB-GZ-804"/>
        <s v="326FB-GZ-806"/>
        <s v="326FB-UZ-804B"/>
        <s v="326FB-BN-801"/>
        <s v="326FB-BS-801"/>
        <s v="326FB-BZ-801B"/>
        <s v="326FB-GN-801"/>
        <s v="326FB-GZ-805B"/>
        <s v="326FB-UZ-802"/>
        <s v="326FB-GZ-802"/>
        <s v="326FB-GZ-802B"/>
        <s v="326FB-GZ-801"/>
        <s v="326FB-BZ-806"/>
        <s v="326FB-GN-802"/>
        <s v="326FB-GZ-808"/>
        <s v="326FB-GS-301"/>
        <s v="326FB-GZ-301"/>
        <s v="326FB-BS-701B"/>
        <s v="326FB-BZ-701"/>
        <s v="326FB-GZ-703"/>
        <s v="326FB-GZ-703B"/>
        <s v="326FB-GZ-704"/>
        <s v="326FB-GZ-705"/>
        <s v="326FB-UZ-716"/>
        <s v="326FB-UZ-717"/>
        <s v="326FB-BN-701"/>
        <s v="326FB-BS-701"/>
        <s v="326FB-BZ-702"/>
        <s v="326FB-GZ-706"/>
        <s v="326FB-UZ-718"/>
        <s v="326FB-GZ-701"/>
        <s v="326FB-GZ-702"/>
        <s v="326FB-UZ-701B"/>
        <s v="326FB-UZ-703"/>
        <s v="326FB-UZ-703B"/>
        <s v="326FB-UZ-705"/>
        <s v="326FB-UZ-706"/>
        <s v="326FB-UZ-708"/>
        <s v="326FB-UZ-709"/>
        <s v="326FB-UZ-709B"/>
        <s v="326FB-UZ-711"/>
        <s v="326FB-UZ-701"/>
        <s v="326FB-UZ-710"/>
        <s v="326FB-UZ-713"/>
        <s v="326FB-UZ-715"/>
        <s v="326FB-UZ-102"/>
        <s v="326FB-UZ-001"/>
        <s v="326FB-UZ-001B"/>
        <s v="326FB-UZ-001C"/>
        <s v="326FB-UZ-801"/>
        <s v="326FB-UZ-401"/>
        <s v="326FB-UZ-405"/>
        <s v="326FB-UZ-406"/>
        <s v="326FB-UZ-103"/>
        <s v="326FB-UZ-105"/>
        <s v="326FB-UZ-106"/>
        <s v="326FB-UZ-107"/>
        <s v="326FB-UZ-108"/>
        <s v="426FB-UZ-801"/>
        <s v="426FB-UZ-502"/>
        <s v="426FB-UZ-501"/>
        <s v="426FB-UZ-402"/>
        <s v="426FB-UZ-401"/>
        <s v="426FB-UZ-102B"/>
        <s v="426FB-UZ-102"/>
        <s v="426FB-UM-101"/>
        <s v="426FB-US-702"/>
        <s v="426FB-US-701"/>
        <s v="426FB-UZ-703"/>
        <s v="426FB-UZ-701"/>
        <s v="426FB-UZ-101"/>
        <s v="926FB-UZ-801"/>
        <s v="926FB-UZ-703B"/>
        <s v="926FB-UZ-702"/>
        <s v="926FB-UZ-701"/>
        <s v="926FB-UZ-202B"/>
        <s v="926FB-UZ-202"/>
        <s v="926FB-UZ-201"/>
        <s v="926FB-UZ-102"/>
        <s v="926FB-UZ-101"/>
        <s v="926FB-UZ-001B"/>
        <s v="926FB-UZ-297"/>
        <s v="926FB-UZ-298"/>
        <s v="926FB-UZ-299"/>
        <s v="326HB-GS-301"/>
        <s v="326HB-BZ-701"/>
        <s v="326FY-GS-501"/>
        <s v="326FY-GN-502"/>
        <s v="326FY-BZ-501B"/>
        <s v="326FY-BS-507"/>
        <s v="326FY-BS-504"/>
        <s v="326FY-BS-502"/>
        <s v="326FY-BN-502B"/>
        <s v="326FY-BN-501"/>
        <s v="326FY-GZ-502"/>
        <s v="326FY-GS-508"/>
        <s v="326FY-GS-507"/>
        <s v="326FY-GS-505"/>
        <s v="326FY-GS-502"/>
        <s v="326FY-GN-501"/>
        <s v="326FY-BZ-501"/>
        <s v="326FY-BS-509"/>
        <s v="326FY-BS-508"/>
        <s v="326FY-BS-501B"/>
        <s v="326FY-BS-501"/>
        <s v="326FY-BN-502"/>
        <s v="326FY-GS-504"/>
        <s v="326FY-BS-506"/>
        <s v="426FY-UZ-502"/>
        <s v="426FY-UZ-501"/>
        <s v="426FY-US-602"/>
        <s v="426FY-US-601"/>
        <s v="426FY-US-908"/>
        <s v="426FY-US-907"/>
        <s v="426FY-US-906"/>
        <s v="426FY-US-904"/>
        <s v="426FY-US-901B"/>
        <s v="426FY-US-901"/>
        <s v="326FY-GM-402"/>
        <s v="326FY-BS-401B"/>
        <s v="326FY-BN-401B"/>
        <s v="326FY-BM-401"/>
        <s v="326FY-BZ-401"/>
        <s v="326FY-BS-401"/>
        <s v="326FY-BN-401"/>
        <s v="426FY-UZ-401B"/>
        <s v="426FY-UZ-401"/>
        <s v="426FY-US-402"/>
        <s v="326FY-GM-401B"/>
        <s v="326FY-BM-402B"/>
        <s v="326FY-GM-401"/>
        <s v="326FY-BM-402"/>
        <s v="326FY-GS-302B"/>
        <s v="326FY-GZ-302"/>
        <s v="326FY-GS-305"/>
        <s v="326FY-GS-303B"/>
        <s v="326FY-GS-305B"/>
        <s v="326FY-GN-302C"/>
        <s v="326FY-GN-302"/>
        <s v="326FY-GS-304B"/>
        <s v="326FY-GS-306"/>
        <s v="326FY-GN-301"/>
        <s v="326FY-GS-306C"/>
        <s v="326FY-GZ-001"/>
        <s v="326FY-BZ-001"/>
        <s v="326FY-GS-002"/>
        <s v="326FY-GS-001E"/>
        <s v="326FY-GS-001C"/>
        <s v="326FY-GS-001"/>
        <s v="326FY-GN-001"/>
        <s v="326FY-BS-001"/>
        <s v="326FY-BN-001B"/>
        <s v="326FY-BN-001"/>
        <s v="326FY-GZ-004"/>
        <s v="326FY-GZ-003"/>
        <s v="326FY-BZ-003"/>
        <s v="326FY-BZ-002"/>
        <s v="326FY-GM-104B"/>
        <s v="326FY-GM-102B"/>
        <s v="326FY-BM-102"/>
        <s v="326FY-GM-104"/>
        <s v="326FY-GM-103"/>
        <s v="326FY-GM-101"/>
        <s v="326FY-BM-101"/>
        <s v="426FY-UM-101"/>
        <s v="326FY-GZ-110B"/>
        <s v="326FY-GZ-110"/>
        <s v="326FY-GZ-109D"/>
        <s v="326FY-GZ-109B"/>
        <s v="326FY-GZ-108B"/>
        <s v="326FY-GZ-108"/>
        <s v="326FY-GZ-107C"/>
        <s v="326FY-GZ-107B"/>
        <s v="326FY-GZ-107"/>
        <s v="326FY-BZ-109"/>
        <s v="326FY-BZ-108"/>
        <s v="326FY-BZ-107B"/>
        <s v="326FY-BZ-107"/>
        <s v="326FY-BZ-106C"/>
        <s v="326FY-BZ-106B"/>
        <s v="326FY-BZ-106"/>
        <s v="326FY-BZ-101B"/>
        <s v="326FY-GZ-108C"/>
        <s v="326FY-GZ-106C"/>
        <s v="326FY-GZ-106B"/>
        <s v="326FY-GZ-102"/>
        <s v="326FY-BZ-109B"/>
        <s v="326FY-BZ-104"/>
        <s v="326FY-BZ-111"/>
        <s v="426FY-UZ-101"/>
        <s v="326FY-GZ-103B"/>
        <s v="326FY-GZ-109"/>
        <s v="326FY-GZ-104"/>
        <s v="326FY-GZ-103"/>
        <s v="326FY-GZ-101"/>
        <s v="326FY-BZ-115"/>
        <s v="326FY-BZ-114B"/>
        <s v="326FY-BZ-113"/>
        <s v="326FY-BZ-112"/>
        <s v="326FY-GZ-111B"/>
        <s v="326FY-GZ-111"/>
        <s v="326FY-BZ-118B"/>
        <s v="326FY-BZ-118"/>
        <s v="326FY-GS-202B"/>
        <s v="326FY-GS-202"/>
        <s v="326FY-GS-201"/>
        <s v="326FY-GN-201"/>
        <s v="326FY-BS-204B"/>
        <s v="326FY-BS-202"/>
        <s v="326FY-BS-201C"/>
        <s v="326FY-BS-201B"/>
        <s v="326FY-BN-201B"/>
        <s v="326FY-GS-203"/>
        <s v="426FY-US-201"/>
        <s v="326FY-BZ-201"/>
        <s v="326FY-GS-802"/>
        <s v="326FY-GZ-806"/>
        <s v="326FY-GZ-805B"/>
        <s v="326FY-GZ-805"/>
        <s v="326FY-GZ-804B"/>
        <s v="326FY-GS-801E"/>
        <s v="326FY-GS-801C"/>
        <s v="326FY-GS-801B"/>
        <s v="326FY-GN-804B"/>
        <s v="326FY-GN-804"/>
        <s v="326FY-GN-801B"/>
        <s v="326FY-BZ-802C"/>
        <s v="326FY-BZ-801B"/>
        <s v="326FY-BZ-801"/>
        <s v="326FY-BS-802C"/>
        <s v="326FY-BS-802B"/>
        <s v="326FY-BS-802"/>
        <s v="326FY-BS-801B"/>
        <s v="326FY-BN-802D"/>
        <s v="326FY-BN-802C"/>
        <s v="326FY-BN-801B"/>
        <s v="326FY-BN-801"/>
        <s v="326FY-UZ-802"/>
        <s v="326FY-BZ-802B"/>
        <s v="326FY-GS-801"/>
        <s v="326FY-GN-803"/>
        <s v="326FY-GN-802B"/>
        <s v="326FY-GN-802"/>
        <s v="326FY-BZ-802"/>
        <s v="326FY-BS-803"/>
        <s v="326FY-BN-803"/>
        <s v="326FY-BN-802"/>
        <s v="326FY-GS-803"/>
        <s v="326FY-BS-804"/>
        <s v="426FY-GZ-801"/>
        <s v="426FY-GN-801"/>
        <s v="426FY-UZ-802"/>
        <s v="426FY-UZ-801"/>
        <s v="426FY-US-802"/>
        <s v="426FY-UN-801"/>
        <s v="326FY-GN-805"/>
        <s v="326FY-BN-804"/>
        <s v="326FY-GZ-802"/>
        <s v="326FY-GZ-801"/>
        <s v="326FY-GZ-803"/>
        <s v="326FZ-US-201B"/>
        <s v="326FZ-US-201"/>
        <s v="326FZ-BN-201B"/>
        <s v="326FZ-BN-201"/>
        <s v="326FZ-BS-204"/>
        <s v="326FZ-BS-206"/>
        <s v="326FZ-BN-202"/>
        <s v="326FZ-BZ-504"/>
        <s v="326FZ-BS-506"/>
        <s v="326FZ-BS-506C"/>
        <s v="326FZ-BZ-505"/>
        <s v="326FZ-BS-504"/>
        <s v="326FZ-BS-516"/>
        <s v="326FZ-BN-502"/>
        <s v="326FZ-BN-501"/>
        <s v="326FZ-BZ-402"/>
        <s v="326FZ-BZ-110"/>
        <s v="326FZ-BZ-110B"/>
        <s v="326FZ-BZ-141"/>
        <s v="326FZ-BZ-109B"/>
        <s v="326FZ-UZ-102"/>
        <s v="326FZ-UZ-101"/>
        <s v="326FZ-BZ-120B"/>
        <s v="326FZ-BZ-116"/>
        <s v="326FZ-BZ-113"/>
        <s v="326FZ-BZ-115"/>
        <s v="326FZ-BZ-120"/>
        <s v="326FZ-BZ-123B"/>
        <s v="326FZ-BZ-144"/>
        <s v="326FZ-BZ-144C"/>
        <s v="326FZ-BZ-122B"/>
        <s v="326FZ-BZ-122"/>
        <s v="326FZ-BZ-121"/>
        <s v="326FZ-BZ-124"/>
        <s v="326FZ-BZ-118"/>
        <s v="326FZ-BM-105B"/>
        <s v="326FZ-UBM-105"/>
        <s v="326FZ-BN-402"/>
        <s v="326FZ-BZ-007"/>
        <s v="326FZ-BZ-004"/>
        <s v="326FZ-BZ-004B"/>
        <s v="326FZ-BZ-012"/>
        <s v="326FZ-BZ-812"/>
        <s v="326FZ-BN-811C"/>
        <s v="326FZ-UZ-801"/>
        <s v="326FZ-BZ-801B"/>
        <s v="326FZ-BS-805B"/>
        <s v="326FZ-BN-809"/>
        <s v="326FZ-BN-807"/>
        <s v="326FZ-BN-810"/>
        <s v="326FZ-BN-806"/>
        <s v="326FZ-BZ-804B"/>
        <s v="326FZ-BZ-801"/>
        <s v="326FZ-BZ-802B"/>
        <s v="326FZ-BZ-814"/>
        <s v="326FZ-BS-806"/>
        <s v="326FZ-BN-809B"/>
        <s v="326FZ-BN-805"/>
        <s v="326FZ-BN-805B"/>
        <s v="426FZ-US-905"/>
        <s v="426FZ-US-905B"/>
        <s v="426FZ-US-903"/>
        <s v="426FZ-US-901"/>
        <s v="426FZ-US-904"/>
        <s v="426FZ-US-401"/>
        <s v="426FZ-US-402B"/>
        <s v="426FZ-US-402"/>
        <s v="426FZ-UZ-501"/>
        <s v="426FZ-UM-101B"/>
        <s v="426FZ-UZ-101"/>
        <s v="426FZ-UZ-103"/>
        <s v="426FZ-UZ-801"/>
        <s v="426FZ-UZ-801B"/>
        <s v="326FZ-GS-325C"/>
        <s v="326FZ-GS-514"/>
        <s v="326FZ-GS-517"/>
        <s v="326FZ-GS-516"/>
        <s v="326FZ-GN-502"/>
        <s v="326FZ-GZ-505"/>
        <s v="326FZ-GZ-504B"/>
        <s v="326FZ-GM-109"/>
        <s v="326FZ-GM-108"/>
        <s v="326FZ-GM-107"/>
        <s v="326FZ-GM-111"/>
        <s v="326FZ-GZ-135"/>
        <s v="326FZ-GZ-134"/>
        <s v="326FZ-GZ-132"/>
        <s v="326FZ-GZ-131"/>
        <s v="326FZ-GZ-130"/>
        <s v="326FZ-GZ-130B"/>
        <s v="326FZ-GZ-130C"/>
        <s v="326FZ-GZ-126"/>
        <s v="326FZ-GZ-125"/>
        <s v="326FZ-GZ-124"/>
        <s v="326FZ-GZ-122"/>
        <s v="326FZ-GZ-125B"/>
        <s v="326FZ-GZ-122B"/>
        <s v="326FZ-GZ-125C"/>
        <s v="326FZ-GZ-124B"/>
        <s v="326FZ-GZ-126B"/>
        <s v="326FZ-GZ-121"/>
        <s v="326FZ-GS-207"/>
        <s v="326FZ-GS-206"/>
        <s v="326FZ-GN-201"/>
        <s v="326FZ-GS-209"/>
        <s v="326FZ-GS-206C"/>
        <s v="326FZ-GZ-120"/>
        <s v="326FZ-GZ-127B"/>
        <s v="326FZ-GZ-120B"/>
        <s v="326FZ-GS-208"/>
        <s v="326FZ-GM-403B"/>
        <s v="326FZ-GM-404"/>
        <s v="326FZ-GM-403"/>
        <s v="326FZ-GS-324"/>
        <s v="326FZ-GS-323"/>
        <s v="326FZ-GN-301"/>
        <s v="326FZ-GS-323B"/>
        <s v="326FZ-GZ-302"/>
        <s v="326FZ-GS-809"/>
        <s v="326FZ-GN-807"/>
        <s v="326FZ-GN-806"/>
        <s v="326FZ-GN-805"/>
        <s v="326FZ-GZ-813"/>
        <s v="326FZ-GZ-812"/>
        <s v="326FZ-GS-805"/>
        <s v="326FZ-GN-806B"/>
        <s v="326FZ-GN-804E"/>
        <s v="326FZ-GS-804"/>
        <s v="326FZ-GN-804"/>
        <s v="326FZ-GZ-815"/>
        <s v="326FZ-GZ-814"/>
        <s v="326FZ-GS-005B"/>
        <s v="326FZ-GZ-011"/>
        <s v="326FZ-GZ-010"/>
        <s v="326FZ-GZ-008"/>
        <s v="326FZ-GZ-006"/>
        <s v="326FZ-GZ-006B"/>
        <s v="326FZ-GZ-007B"/>
        <s v="326FZ-GZ-013"/>
        <s v="326FZ-GN-401"/>
        <s v="326FZ-US-501"/>
        <s v="326FZ-GZ-811C"/>
        <s v="326FZ-GZ-811"/>
        <s v="326FZ-GZ-809"/>
        <s v="326FZ-GZ-807"/>
        <s v="326FZ-GZ-503"/>
        <s v="326FZ-GZ-502"/>
        <s v="326FZ-GZ-401"/>
        <s v="326FZ-GZ-301"/>
        <s v="326FZ-GZ-136"/>
        <s v="326FZ-GZ-119"/>
        <s v="326FZ-GZ-118"/>
        <s v="326FZ-GZ-116"/>
        <s v="326FZ-GZ-115"/>
        <s v="326FZ-GZ-114"/>
        <s v="326FZ-GZ-113"/>
        <s v="326FZ-GZ-112"/>
        <s v="326FZ-GZ-111"/>
        <s v="326FZ-GZ-110B"/>
        <s v="326FZ-GZ-109"/>
        <s v="326FZ-GZ-108B"/>
        <s v="326FZ-GZ-005"/>
        <s v="326FZ-GZ-004"/>
        <s v="326FZ-GZ-002"/>
        <s v="326FZ-GS-803"/>
        <s v="326FZ-GS-802"/>
        <s v="326FZ-GS-801B"/>
        <s v="326FZ-GS-513"/>
        <s v="326FZ-GS-512"/>
        <s v="326FZ-GS-511"/>
        <s v="326FZ-GS-510"/>
        <s v="326FZ-GS-509"/>
        <s v="326FZ-GS-507B"/>
        <s v="326FZ-GS-505"/>
        <s v="326FZ-GS-322"/>
        <s v="326FZ-BZ-811"/>
        <s v="326FZ-BZ-809B"/>
        <s v="326FZ-BZ-807C"/>
        <s v="326FZ-BZ-807"/>
        <s v="326FZ-BZ-508"/>
        <s v="326FZ-BZ-507"/>
        <s v="326FZ-BZ-506"/>
        <s v="326FZ-BZ-401"/>
        <s v="326FZ-BZ-147"/>
        <s v="326FZ-BZ-146"/>
        <s v="326FZ-BZ-140"/>
        <s v="326FZ-BZ-139"/>
        <s v="326FZ-BZ-138"/>
        <s v="326FZ-BZ-137"/>
        <s v="326FZ-BZ-135"/>
        <s v="326FZ-BZ-134B"/>
        <s v="326FZ-BZ-134"/>
        <s v="326FZ-BZ-132"/>
        <s v="326FZ-BZ-129"/>
        <s v="326FZ-BZ-128B"/>
        <s v="326FZ-BZ-127"/>
        <s v="326FZ-BZ-010"/>
        <s v="326FZ-BZ-009"/>
        <s v="326FZ-BS-812"/>
        <s v="326FZ-BS-810"/>
        <s v="326FZ-BS-809"/>
        <s v="326FZ-BS-808B"/>
        <s v="326FZ-BS-515"/>
        <s v="326FZ-BS-514"/>
        <s v="326FZ-BS-513"/>
        <s v="326FZ-BS-512"/>
        <s v="326FZ-BS-511"/>
        <s v="326FZ-BS-509"/>
        <s v="326FZ-BS-508B"/>
        <s v="326FZ-BS-508"/>
        <s v="326FZ-BS-401"/>
        <s v="426FZ-UBZ-801"/>
        <s v="426FZ-UBZ-104"/>
        <s v="426FZ-UBS-902"/>
        <s v="426FZ-UBS-601"/>
        <s v="326FZ-BS-501"/>
        <s v="326FZ-BN-503"/>
        <s v="326FZ-BM-103B"/>
        <s v="326FZ-BM-101"/>
        <s v="326FZ-BS-203"/>
        <s v="326FZ-BS-202"/>
        <s v="326FZ-BM-401"/>
        <s v="326FZ-BZ-103"/>
        <s v="326FZ-BZ-104"/>
        <s v="326FZ-BZ-102"/>
        <s v="326FZ-BZ-101"/>
        <s v="326FZ-BZ-108"/>
        <s v="326FZ-BZ-106"/>
        <s v="326FZ-BZ-105"/>
        <s v="326FZ-BZ-003"/>
        <s v="326FZ-BS-802B"/>
        <s v="326FZ-BS-801"/>
        <s v="326FZ-BN-802"/>
        <s v="326FZ-BN-801"/>
        <s v="326FZ-BS-501D"/>
        <s v="326FZ-BS-501C"/>
        <s v="326FZ-BM-103"/>
        <s v="326FZ-BM-401B"/>
        <s v="326FZ-BS-201"/>
        <s v="326FZ-BS-201B"/>
        <s v="326FZ-BN-802B"/>
        <s v="326FZ-GS-504"/>
        <s v="326FZ-GS-501"/>
        <s v="326FZ-GZ-506"/>
        <s v="326FZ-GM-102B"/>
        <s v="326FZ-GM-101"/>
        <s v="326FZ-GM-103"/>
        <s v="326FZ-GM-102"/>
        <s v="326FZ-GM-402"/>
        <s v="326FZ-GS-205"/>
        <s v="326FZ-GS-203"/>
        <s v="326FZ-GS-202"/>
        <s v="326FZ-GZ-104B"/>
        <s v="326FZ-GZ-104"/>
        <s v="326FZ-GZ-103"/>
        <s v="326FZ-GZ-102B"/>
        <s v="326FZ-GZ-102"/>
        <s v="326FZ-GZ-101"/>
        <s v="326FZ-GZ-105B"/>
        <s v="326FZ-GS-318B"/>
        <s v="326FZ-GS-306"/>
        <s v="326FZ-GS-318"/>
        <s v="326FZ-GS-306C"/>
        <s v="326FZ-GS-306B"/>
        <s v="326FZ-GS-004B"/>
        <s v="326FZ-GN-002"/>
        <s v="326FZ-GS-314"/>
        <s v="326FZ-GN-304"/>
        <s v="326FZ-GZ-804B"/>
        <s v="326FZ-GZ-804"/>
        <s v="326FZ-GN-802"/>
        <s v="326FZ-GS-808"/>
        <s v="326FZ-GN-803C"/>
        <s v="326FZ-GN-802C"/>
        <s v="326FZ-GS-502"/>
        <s v="326FZ-GM-105C"/>
        <s v="326FZ-GM-104"/>
        <s v="326FZ-GM-105B"/>
        <s v="326FZ-GM-401"/>
        <s v="326FZ-GS-401B"/>
        <s v="326FZ-GS-201"/>
        <s v="326FZ-GS-204"/>
        <s v="326FZ-GZ-106B"/>
        <s v="326FZ-GZ-106"/>
        <s v="326FZ-GZ-107"/>
        <s v="326FZ-GS-313"/>
        <s v="326FZ-GS-308"/>
        <s v="326FZ-GN-303"/>
        <s v="326FZ-GS-319"/>
        <s v="326FZ-GS-307C"/>
        <s v="326FZ-GS-316"/>
        <s v="326FZ-GS-317B"/>
        <s v="326FZ-GS-317"/>
        <s v="326FZ-GN-801D"/>
        <s v="326FZ-GN-801"/>
        <s v="326FZ-GN-801B"/>
        <s v="326FZ-GS-310"/>
        <s v="326FZ-GS-312"/>
        <s v="326FZ-GS-309"/>
        <s v="326FZ-GS-401"/>
        <s v="326FZ-GS-204B"/>
        <s v="326FZ-GN-305"/>
        <s v="326FZ-GN-303B"/>
        <s v="326FZ-GS-303"/>
        <s v="326FHZ-UZ-101"/>
        <s v="326FHZ-GZ-119"/>
        <s v="326FHZ-GZ-118"/>
        <s v="326FHZ-GZ-115"/>
        <s v="326FHZ-GZ-114"/>
        <s v="326FHZ-GZ-112"/>
        <s v="326FHZ-GZ-111"/>
        <s v="326FHZ-GZ-110"/>
        <s v="326FHZ-GZ-109"/>
        <s v="326FHZ-GZ-108"/>
        <s v="326FHZ-GZ-106"/>
        <s v="326FHZ-GZ-105"/>
        <s v="326FHZ-GZ-104"/>
        <s v="326FHZ-GZ-103"/>
        <s v="326FHZ-GZ-102"/>
        <s v="326FHZ-GZ-101"/>
        <s v="326FHZ-GZ-012"/>
        <s v="326FHZ-GZ-009"/>
        <s v="326FHZ-GZ-008"/>
        <s v="326FHZ-GZ-006B"/>
        <s v="326FHZ-GZ-006"/>
        <s v="326FHZ-GZ-005"/>
        <s v="326FHZ-GZ-004"/>
        <s v="326FHZ-GZ-003"/>
        <s v="326FHZ-GZ-002"/>
        <s v="326FHZ-GZ-001"/>
        <s v="326FHZ-GS-001"/>
        <s v="326FHZ-GH-407"/>
        <s v="326FHZ-GH-406"/>
        <s v="326FHZ-GH-404"/>
        <s v="326FHZ-GH-403"/>
        <s v="326FHZ-GH-402"/>
        <s v="326FHZ-GH-401"/>
        <s v="326FHZ-GH-213"/>
        <s v="326FHZ-GH-211"/>
        <s v="326FHZ-GH-210"/>
        <s v="326FHZ-GH-209"/>
        <s v="326FHZ-GH-208"/>
        <s v="326FHZ-GH-204"/>
        <s v="326FHZ-GH-202"/>
        <s v="326FHZ-GH-201"/>
        <s v="326FHZ-BZ-109"/>
        <s v="326FHZ-BZ-108"/>
        <s v="326FHZ-BZ-107"/>
        <s v="326FHZ-BZ-106"/>
        <s v="326FHZ-BZ-105"/>
        <s v="326FHZ-BZ-104"/>
        <s v="326FHZ-BZ-103"/>
        <s v="326FHZ-BZ-102"/>
        <s v="326FHZ-BZ-101"/>
        <s v="326FHZ-BZ-004"/>
        <s v="326FHZ-BZ-003"/>
        <s v="326FHZ-BZ-001"/>
        <s v="326FHZ-BS-001"/>
        <s v="326FHZ-BH-206"/>
        <s v="326FHZ-BH-205"/>
        <s v="326FHZ-BH-204"/>
        <s v="326FHZ-BH-203"/>
        <s v="326FHZ-BH-201"/>
        <s v="326FHY-GZ-102"/>
        <s v="326FHY-GZ-101"/>
        <s v="326FHY-GZ-002"/>
        <s v="326FHY-GZ-001"/>
        <s v="326FHY-GH-205"/>
        <s v="326FHY-GH-204"/>
        <s v="326FHY-GH-203"/>
        <s v="326FHY-GH-202"/>
        <s v="326FHY-GH-201"/>
        <s v="326FHY-BZ-103"/>
        <s v="326FHY-BZ-102B"/>
        <s v="326FHY-BZ-102"/>
        <s v="326FHY-BZ-101"/>
        <s v="326FHY-BZ-002"/>
        <s v="326FHY-BZ-001"/>
        <s v="326FHY-BH-205"/>
        <s v="326FHY-BH-204"/>
        <s v="326FHY-BH-203"/>
        <s v="326FHY-BH-202"/>
        <s v="326FHY-BH-201"/>
        <s v="426FHZ-UZ-101"/>
        <s v="426FHZ-UZ-001"/>
        <s v="426FHZ-GZ-103B"/>
        <s v="426FHZ-GZ-103"/>
        <s v="426FHZ-GZ-102"/>
        <s v="426FHZ-GZ-101"/>
        <s v="426FHZ-BZ-104"/>
        <s v="426FHZ-BZ-102"/>
        <s v="426FHZ-BZ-101"/>
        <s v="426FHY-GZ-101"/>
        <s v="426FHY-BZ-101"/>
        <s v="326FHZ-GZ-013"/>
        <s v="926VFHZ-GH-404"/>
        <s v="926VFHZ-GH-401"/>
        <s v="926FHZ-GH-404"/>
        <s v="926FHZ-GH-402"/>
        <s v="926FHZ-UZ-703"/>
        <s v="926FHZ-GZ-701"/>
        <s v="926FHZ-GZ-702"/>
        <s v="926FHZ-GZ-705"/>
        <s v="926FHZ-GZ-706"/>
        <s v="326FHZ-BZ-702"/>
        <s v="326FHZ-GZ-702"/>
        <s v="326FHZ-UZ-703"/>
        <s v="326FHZ-GZ-704"/>
        <s v="326FHZ-UZ-705"/>
        <s v="326FHZ-BZ-706"/>
        <s v="326FHY-BZ-708"/>
        <s v="326FHY-GZ-708"/>
        <s v="326FHY-BZ-709"/>
        <s v="326FHY-GZ-709"/>
        <s v="326FHY-BZ-710"/>
        <s v="326FHY-GZ-710"/>
        <s v="326FHY-BZ-711"/>
        <s v="326FHY-GZ-711"/>
        <s v="326FHY-BZ-712"/>
        <s v="326FHY-GZ-712"/>
        <s v="326FHY-BZ-713"/>
        <s v="326FHY-BZ-714"/>
        <s v="326FHY-GZ-714"/>
        <s v="326FHY-BZ-715"/>
        <s v="326FHY-GZ-715"/>
        <s v="326FHY-GZ-716"/>
        <s v="326FHZ-GZ-717"/>
        <s v="326FHZ-GZ-718"/>
        <s v="326FHZ-GZ-719"/>
        <s v="326FHZ-GZ-720"/>
        <s v="326FHZ-GZ-721"/>
        <s v="326FHZ-GZ-722"/>
        <s v="326FHZ-GZ-726"/>
        <s v="326FHZ-GZ-727"/>
        <s v="326FHZ-GZ-728"/>
        <s v="326FHZ-GZ-729"/>
        <s v="326FHZ-BZ-730"/>
        <s v="326FHZ-GZ-730"/>
        <s v="326FHZ-BZ-732"/>
        <s v="326FHZ-GZ-732"/>
        <s v="326FHZ-GZ-735"/>
        <s v="326FHZ-GZ-736"/>
        <s v="326FHZ-UZ-737"/>
        <s v="326FHZ-UZ-738"/>
        <s v="326FHY-BZ-741"/>
        <s v="326FHY-GZ-741"/>
        <s v="326FHZ-GZ-742"/>
        <s v="326FHZ-GZ-747"/>
        <s v="326FHZ-UZ-750"/>
        <s v="326FHZ-UZ-752"/>
        <s v="326FHZ-GZ-756"/>
        <s v="326FHZ-GZ-760"/>
        <s v="326FHZ-UZ-762"/>
        <s v="326FHZ-UZ-766"/>
        <s v="326BPC-001"/>
        <s v="326BPC-040"/>
        <s v="326BPC-041"/>
        <s v="326BPC-002"/>
        <s v="326BPC-003"/>
        <s v="326BPC-004"/>
        <s v="326BPC-005"/>
        <s v="326BPC-006"/>
        <s v="326BPC-007"/>
        <s v="326BPC-012"/>
        <s v="326BPC-013"/>
        <s v="326BPC-014"/>
        <s v="326BPC-015"/>
        <s v="326BPC-016"/>
        <s v="326BPC-042"/>
        <s v="326BPC-017"/>
        <s v="326BPC-018"/>
        <s v="326BPC-046"/>
        <s v="326BPC-047"/>
        <s v="326BPC-045"/>
        <s v="326BPC-024"/>
        <s v="326BPC-025"/>
        <s v="326BPC-028"/>
        <s v="326BPC-029"/>
        <s v="326BPC-031"/>
        <s v="326BPC-032"/>
        <s v="326BPC-033"/>
        <s v="326BPC-034"/>
        <s v="326BPC-035"/>
        <s v="326BPC-036"/>
        <s v="326MZ-PC001"/>
        <s v="326MZ-PC002"/>
        <s v="326MZ-PC003"/>
        <s v="326MZ-PC004"/>
        <s v="326MZ-PC040"/>
        <s v="326MZ-PC006"/>
        <s v="326MZ-PC007"/>
        <s v="326MZ-PC008"/>
        <s v="326MZ-PC009"/>
        <s v="326MZ-PC010"/>
        <s v="326MZ-PC012"/>
        <s v="326MZ-PC014"/>
        <s v="326MZ-001"/>
        <s v="326MZ-002"/>
        <s v="326MZ-004"/>
        <s v="326MZ-005"/>
        <s v="326MZ-006"/>
        <s v="326MZ-009"/>
        <s v="326MZ-012"/>
        <s v="326SP-001"/>
        <s v="326SP-002"/>
        <s v="326SP-003"/>
        <s v="326SP-004"/>
        <s v="326SP-005"/>
        <s v="326SP-007"/>
        <s v="326SP-009"/>
        <s v="326SP-010"/>
        <s v="326SP-011"/>
        <s v="326SP-012"/>
        <s v="326SP-013"/>
        <s v="326SP-014"/>
        <s v="326SP-015"/>
        <s v="326SP-016"/>
        <s v="326SP-017"/>
        <s v="326SP-018"/>
        <s v="326SP-019"/>
        <s v="326SP-020"/>
        <s v="326SP-022"/>
        <s v="326SP-023"/>
        <s v="326SP-024"/>
        <s v="326SP-025"/>
        <s v="326SP-026"/>
        <s v="326SP-027"/>
        <s v="326SP-028"/>
        <s v="326SP-029"/>
        <s v="326SP-030"/>
        <s v="326SP-031"/>
        <s v="326SP-032"/>
        <s v="326SP-033"/>
        <s v="326SP-059"/>
        <s v="326SP-035"/>
        <s v="326SP-036"/>
        <s v="326SP-037"/>
        <s v="326SP-038"/>
        <s v="326SP-040"/>
        <s v="326SP-041"/>
        <s v="326SP-042"/>
        <s v="326SP-044"/>
        <s v="326SP-045"/>
        <s v="326SP-046"/>
        <s v="926SP-047"/>
        <s v="926SP-048"/>
        <s v="326SP-050"/>
        <s v="326SP-051"/>
        <s v="326SP-053"/>
        <s v="326SP-056"/>
        <s v="326SP-058"/>
        <s v="326SB-001"/>
        <s v="326SB-002"/>
        <s v="326SB-003"/>
        <s v="326SB-004"/>
        <s v="326SB-007"/>
        <s v="326SB-008"/>
        <s v="326-XTT006"/>
        <s v="326-XTT001"/>
        <s v="326-XTT002"/>
        <s v="326-XTT003"/>
        <s v="326-XTT004"/>
        <s v="326-XTT005"/>
        <s v="326-XTT008"/>
        <s v="326-JG001"/>
        <s v="326-XTT010"/>
        <s v="326-XTT011"/>
        <s v="326-XTT012"/>
        <s v="326-XTT022"/>
        <s v="326-XTT020"/>
        <s v="326-XTT023"/>
        <s v="326-HZJ001"/>
        <s v="326-HZJ002"/>
        <s v="326-HZJ003"/>
        <s v="326-HZJ004"/>
        <s v="326-HZJ005"/>
        <s v="326-HZJ008"/>
        <s v="326-XY001"/>
        <s v="326-XY001-IP1"/>
        <s v="326-XY001-IP2"/>
        <s v="326-XY003"/>
        <s v="326-XY004"/>
        <s v="326-XY005"/>
        <s v="326-XY006"/>
        <s v="326-XY007"/>
        <s v="326-YTT001"/>
        <s v="326-YTT002-ip"/>
        <s v="326-YTT002"/>
        <s v="326-YTT003"/>
        <s v="326-YTT004"/>
        <s v="326-ZJ531"/>
        <s v="326-ZJ537"/>
        <s v="326-ZJ533"/>
        <s v="326-ZJ534"/>
        <s v="326-ZJ532"/>
        <s v="326-ZJ535"/>
        <s v="326-ZJ536"/>
        <s v="326-ZJ538"/>
        <s v="326-YJY001"/>
        <s v="326-YJY003"/>
        <s v="326-YJY004"/>
        <s v="326-YJY005"/>
        <s v="326-HRODM001"/>
        <s v="326-WH201"/>
        <s v="326-WH202"/>
        <s v="326-WH220"/>
        <s v="326-BCODM002"/>
        <s v="326-WH206"/>
        <s v="326-WH207"/>
        <s v="326-WH208"/>
        <s v="326-WH209"/>
        <s v="326-BCODM-5"/>
        <s v="326-WH212"/>
        <s v="326-WH245"/>
        <s v="326-WH247"/>
        <s v="326-WS01"/>
        <s v="326-WS02"/>
        <s v="326-WS03"/>
        <s v="326-WS04"/>
        <s v="326-WS05"/>
        <s v="326-WS07"/>
        <s v="326-WS08"/>
        <s v="326-WS09"/>
        <s v="326-RC01"/>
        <s v="326-RC02"/>
        <s v="326-RC03"/>
        <s v="326-JM02"/>
        <s v="326-JM04"/>
        <s v="326-JM06"/>
        <s v="326-RC04-W"/>
        <s v="326-RC04-P"/>
        <s v="326-RC01-BQ"/>
        <s v="326-RC02-BQ"/>
        <s v="326-XY003-BQ"/>
        <s v="326-XY004-BQ"/>
        <s v="326-XY006-BQ"/>
        <s v="326-XY001-BQ"/>
        <s v="326-XY002-BQ"/>
        <s v="426-HZJ100"/>
        <s v="426-HZJ101"/>
        <s v="326-WH214"/>
        <s v="426-WH216"/>
        <s v="425-OW210"/>
        <s v="426-YJY001"/>
        <s v="426-YJY002"/>
        <s v="HW426-RC01"/>
        <s v="HW426-jm02"/>
        <s v="326-HRODM01"/>
      </sharedItems>
    </cacheField>
    <cacheField name="翻单款老款号" numFmtId="0">
      <sharedItems containsString="0" containsBlank="1" containsNonDate="0" count="1">
        <m/>
      </sharedItems>
    </cacheField>
    <cacheField name="款数" numFmtId="0">
      <sharedItems containsSemiMixedTypes="0" containsString="0" containsNumber="1" containsInteger="1" minValue="0" maxValue="1" count="2">
        <n v="1"/>
        <n v="0"/>
      </sharedItems>
    </cacheField>
    <cacheField name="SKC数" numFmtId="0">
      <sharedItems containsSemiMixedTypes="0" containsString="0" containsNumber="1" containsInteger="1" minValue="0" maxValue="1" count="1">
        <n v="1"/>
      </sharedItems>
    </cacheField>
    <cacheField name="单款SKC数" numFmtId="0">
      <sharedItems containsString="0" containsBlank="1" containsNumber="1" containsInteger="1" minValue="0" maxValue="4" count="6">
        <n v="1"/>
        <n v="2"/>
        <n v="3"/>
        <n v="4"/>
        <n v="0"/>
        <m/>
      </sharedItems>
    </cacheField>
    <cacheField name="款色号" numFmtId="0">
      <sharedItems count="1540">
        <s v="20032610510300334"/>
        <s v="20032610510400444"/>
        <s v="20032610510400411"/>
        <s v="20032610510700344"/>
        <s v="20032610500300316"/>
        <s v="20032610500481510"/>
        <s v="20032610500800344"/>
        <s v="20032610510100488"/>
        <s v="20032610510280085"/>
        <s v="20032610510510501"/>
        <s v="20032610500100313"/>
        <s v="20032610500210710"/>
        <s v="20032610500500411"/>
        <s v="20032610500600314"/>
        <s v="20032610110100444"/>
        <s v="20032610110331401"/>
        <s v="20032610100281510"/>
        <s v="20032610100310302"/>
        <s v="20032610110250335"/>
        <s v="20032610100110101"/>
        <s v="20032610100131408"/>
        <s v="20032610120100388"/>
        <s v="20032610120100331"/>
        <s v="20032610310350335"/>
        <s v="20032610310300414"/>
        <s v="20032610300310302"/>
        <s v="20032610300481510"/>
        <s v="20032610300560356"/>
        <s v="20032610310110101"/>
        <s v="20032610310100318"/>
        <s v="20032610300131408"/>
        <s v="20032610300210101"/>
        <s v="20032610010310101"/>
        <s v="20032610010410101"/>
        <s v="20032610010400314"/>
        <s v="20032610010500413"/>
        <s v="20032610010610302"/>
        <s v="20032610010600431"/>
        <s v="20032610000310101"/>
        <s v="20032610000400314"/>
        <s v="20032610000510101"/>
        <s v="20032610000610302"/>
        <s v="20032610000800416"/>
        <s v="20032610020110302"/>
        <s v="20032610020160356"/>
        <s v="20032610010100418"/>
        <s v="20032610010210101"/>
        <s v="20032610010200418"/>
        <s v="20032610000110302"/>
        <s v="20032610000200434"/>
        <s v="20032610000210302"/>
        <s v="20032612100260356"/>
        <s v="20032612110100418"/>
        <s v="20032612110280085"/>
        <s v="20032612110250806"/>
        <s v="20032612100110101"/>
        <s v="20032612100100435"/>
        <s v="20032611710131401"/>
        <s v="20032611710100334"/>
        <s v="20032611710110101"/>
        <s v="20032611700100316"/>
        <s v="20032611700110101"/>
        <s v="20032610210100445"/>
        <s v="20032610210100311"/>
        <s v="20032610210200414"/>
        <s v="20032610210200418"/>
        <s v="20032610200200315"/>
        <s v="20032610200210101"/>
        <s v="20032610200300314"/>
        <s v="20032610200100431"/>
        <s v="20032610200100433"/>
        <s v="20032612210110101"/>
        <s v="20032612210100413"/>
        <s v="20032612200110101"/>
        <s v="20032610410710101"/>
        <s v="20032610410700334"/>
        <s v="20032610400910101"/>
        <s v="20032610410200315"/>
        <s v="20032610410300414"/>
        <s v="20032610410500488"/>
        <s v="20032610410600415"/>
        <s v="20032610400200316"/>
        <s v="20032610400400311"/>
        <s v="20032610400500355"/>
        <s v="20032610400800344"/>
        <s v="20032610420100344"/>
        <s v="20032610420160356"/>
        <s v="20032610410100488"/>
        <s v="20032610410400488"/>
        <s v="20032610400100488"/>
        <s v="20032610400600481"/>
        <s v="20032610400700413"/>
        <s v="20032610810300344"/>
        <s v="20032610810320164"/>
        <s v="20032610810440961"/>
        <s v="20032610810600488"/>
        <s v="20032610810620410"/>
        <s v="20032610810700344"/>
        <s v="20032610810810302"/>
        <s v="20032610810850008"/>
        <s v="20032610800250837"/>
        <s v="20032610800250311"/>
        <s v="20032610800350855"/>
        <s v="20032610800400488"/>
        <s v="20032610800610302"/>
        <s v="20032610820200488"/>
        <s v="20032610820250311"/>
        <s v="20032610810188301"/>
        <s v="20032610810210302"/>
        <s v="20032610810580821"/>
        <s v="20032610810550609"/>
        <s v="20032610800188301"/>
        <s v="20032610800500314"/>
        <s v="20032610800510710"/>
        <s v="20032610820150335"/>
        <s v="20032610820160356"/>
        <s v="20032612300210302"/>
        <s v="20032612300300313"/>
        <s v="20032612300110302"/>
        <s v="20032612300100205"/>
        <s v="20032611010120410"/>
        <s v="20032611010100343"/>
        <s v="20032611000100388"/>
        <s v="20032611000260356"/>
        <s v="20032611100100314"/>
        <s v="20032611100200311"/>
        <s v="20032612010300344"/>
        <s v="20032612010400415"/>
        <s v="20032612000100444"/>
        <s v="20032612000260356"/>
        <s v="20032612000310101"/>
        <s v="20032612000400313"/>
        <s v="20032612020100345"/>
        <s v="20032612020100377"/>
        <s v="20032612020100381"/>
        <s v="20032612020100361"/>
        <s v="20032612020200366"/>
        <s v="20032612020200318"/>
        <s v="20032612010188301"/>
        <s v="20032612010250609"/>
        <s v="20032612010500418"/>
        <s v="20032612000500334"/>
        <s v="20032612020410501"/>
        <s v="20032613300100314"/>
        <s v="20032613300100316"/>
        <s v="20032613300210101"/>
        <s v="20032613320280011"/>
        <s v="20032613320260356"/>
        <s v="20032613320300311"/>
        <s v="20032613320330001"/>
        <s v="20032613320430001"/>
        <s v="20032613320400311"/>
        <s v="20032613320500311"/>
        <s v="20032613320530001"/>
        <s v="20032613320610101"/>
        <s v="20032613320600355"/>
        <s v="20032613320700355"/>
        <s v="20032613320700315"/>
        <s v="20032613320800314"/>
        <s v="20032613320800344"/>
        <s v="20032613320901315"/>
        <s v="20032613320900318"/>
        <s v="20032613321100312"/>
        <s v="20032613321110101"/>
        <s v="20032613321100355"/>
        <s v="20032613320100311"/>
        <s v="20032613320101315"/>
        <s v="20032613321000388"/>
        <s v="20032613321001315"/>
        <s v="20032613720100344"/>
        <s v="20032613720200315"/>
        <s v="20032613120100311"/>
        <s v="20032613420110101"/>
        <s v="20032613420200318"/>
        <s v="20032613420380011"/>
        <s v="20032613220100318"/>
        <s v="20032615620100314"/>
        <s v="20032615620200311"/>
        <s v="20032615620300311"/>
        <s v="20032618120100312"/>
        <s v="20032618120200381"/>
        <s v="20032618120300312"/>
        <s v="20032618120400311"/>
        <s v="20032618120400313"/>
        <s v="20032618120500344"/>
        <s v="20042610820120410"/>
        <s v="20042610820150808"/>
        <s v="20042610820160302"/>
        <s v="20042610520280932"/>
        <s v="20042610520230323"/>
        <s v="20042610520260320"/>
        <s v="20042610520110501"/>
        <s v="20042610520180932"/>
        <s v="20042610520160302"/>
        <s v="20042610120260320"/>
        <s v="20042610120250307"/>
        <s v="20042610120130323"/>
        <s v="20042610120180932"/>
        <s v="20042610120160302"/>
        <s v="20042610020200485"/>
        <s v="20042610020200466"/>
        <s v="20042610020110501"/>
        <s v="20042610020100433"/>
        <s v="20042610020160320"/>
        <s v="20042610320150307"/>
        <s v="20042610320131401"/>
        <s v="20042610320100416"/>
        <s v="20042612020280013"/>
        <s v="20042612020200333"/>
        <s v="20042612020180932"/>
        <s v="20042612020160005"/>
        <s v="20042612020141122"/>
        <s v="20042612020300323"/>
        <s v="20042612020300316"/>
        <s v="20042613320110402"/>
        <s v="20042613320150325"/>
        <s v="20042613320160053"/>
        <s v="20042613120110402"/>
        <s v="20042613120160053"/>
        <s v="20092613220100313"/>
        <s v="20092613220100344"/>
        <s v="20092613720200333"/>
        <s v="20092613720200344"/>
        <s v="20092613320200333"/>
        <s v="20092613320200344"/>
        <s v="20092613320200313"/>
        <s v="20092613320100311"/>
        <s v="20092613320100313"/>
        <s v="20092618020901315"/>
        <s v="20092618020200333"/>
        <s v="20092618020200311"/>
        <s v="20092618020200314"/>
        <s v="20092618020100333"/>
        <s v="20092618020100311"/>
        <s v="20092618020100314"/>
        <s v="20092613120200313"/>
        <s v="20092613120200344"/>
        <s v="20092613120100311"/>
        <s v="20092613120100313"/>
        <s v="20092613420200333"/>
        <s v="20092613420200344"/>
        <s v="20092618029410101"/>
        <s v="20092618029510101"/>
        <s v="20092618029610101"/>
        <s v="20032611100400314"/>
        <s v="20032612010600415"/>
        <s v="20132610500100315"/>
        <s v="20132610500150002"/>
        <s v="20132610500268101"/>
        <s v="20132610510941539"/>
        <s v="20132610510320218"/>
        <s v="20132610510100411"/>
        <s v="20132610510100466"/>
        <s v="20132610510250606"/>
        <s v="20132610510200318"/>
        <s v="20132610510510302"/>
        <s v="20132610510428101"/>
        <s v="20132610510400321"/>
        <s v="20132610500360014"/>
        <s v="20132610501000311"/>
        <s v="20132610501050307"/>
        <s v="20142610720390001"/>
        <s v="20132610500500333"/>
        <s v="20132610500570721"/>
        <s v="20132610500560356"/>
        <s v="20132610500650307"/>
        <s v="20132610500600388"/>
        <s v="20132610500488201"/>
        <s v="20132610500438101"/>
        <s v="20132610510800211"/>
        <s v="20132610511050606"/>
        <s v="20132610510641115"/>
        <s v="20132610510680923"/>
        <s v="20132610510651001"/>
        <s v="20132610511100388"/>
        <s v="20132610511200344"/>
        <s v="20132610511200388"/>
        <s v="20132610510788201"/>
        <s v="20132610510798101"/>
        <s v="20132610501160014"/>
        <s v="20132610511351001"/>
        <s v="20132610511341184"/>
        <s v="20142610520260334"/>
        <s v="20142610520200311"/>
        <s v="20142610520100316"/>
        <s v="20142610520100328"/>
        <s v="20142610620250002"/>
        <s v="20142610620280521"/>
        <s v="20142610620170013"/>
        <s v="20142610620100311"/>
        <s v="20142610620151005"/>
        <s v="20142610720670013"/>
        <s v="20142610720669401"/>
        <s v="20142610720680521"/>
        <s v="20142610720501315"/>
        <s v="20142610720530305"/>
        <s v="20142610720520713"/>
        <s v="20142610720441416"/>
        <s v="20142610720410501"/>
        <s v="20142610720360136"/>
        <s v="20142610720360648"/>
        <s v="20142610720380304"/>
        <s v="20142610720260334"/>
        <s v="20142610720290001"/>
        <s v="20142610720160334"/>
        <s v="20142610720180023"/>
        <s v="20132610100110302"/>
        <s v="20132610100140349"/>
        <s v="20132610110550307"/>
        <s v="20132610110488201"/>
        <s v="20132610110100488"/>
        <s v="20132610110110302"/>
        <s v="20132610110600211"/>
        <s v="20132610110600344"/>
        <s v="20142610620290001"/>
        <s v="20132610110388201"/>
        <s v="20142610120300311"/>
        <s v="20142610120300377"/>
        <s v="20142610120200311"/>
        <s v="20142610120200388"/>
        <s v="20142610120100322"/>
        <s v="20142610120160334"/>
        <s v="20132612200200466"/>
        <s v="20132612210200211"/>
        <s v="20132612200100411"/>
        <s v="20132612200180023"/>
        <s v="20132612210141115"/>
        <s v="20132612210110302"/>
        <s v="20132611100160356"/>
        <s v="20132611100610302"/>
        <s v="20132611100660320"/>
        <s v="20132611100910302"/>
        <s v="20132611100200314"/>
        <s v="20132611100810302"/>
        <s v="20132611100388201"/>
        <s v="20132611100728201"/>
        <s v="20132611100480025"/>
        <s v="20132611200110101"/>
        <s v="20132611200368101"/>
        <s v="20132611200250307"/>
        <s v="20132610400260356"/>
        <s v="20132610410200362"/>
        <s v="20132610410200388"/>
        <s v="20132610401100461"/>
        <s v="20132610200610501"/>
        <s v="20132610400510302"/>
        <s v="20132610400480025"/>
        <s v="20132610400798101"/>
        <s v="20132610410700455"/>
        <s v="20132610410600388"/>
        <s v="20132610410528101"/>
        <s v="20132610400160356"/>
        <s v="20132610400300211"/>
        <s v="20132610400381503"/>
        <s v="20132610410340942"/>
        <s v="20132610410300211"/>
        <s v="20132610410150307"/>
        <s v="20132610300400411"/>
        <s v="20132610300110302"/>
        <s v="20132610300160320"/>
        <s v="20132610310100455"/>
        <s v="20132610310110302"/>
        <s v="20132610310100481"/>
        <s v="20132610300210302"/>
        <s v="20132610300200455"/>
        <s v="20132610300501315"/>
        <s v="20132610300300411"/>
        <s v="20132610300300488"/>
        <s v="20132610310200422"/>
        <s v="20132610310200433"/>
        <s v="20132610310200481"/>
        <s v="20142610320110501"/>
        <s v="20142610320160334"/>
        <s v="20142610320100485"/>
        <s v="20132610000560320"/>
        <s v="20132610000510101"/>
        <s v="20132610000310302"/>
        <s v="20132610000360320"/>
        <s v="20132610000900314"/>
        <s v="20132610000901315"/>
        <s v="20132610000600429"/>
        <s v="20132610000810101"/>
        <s v="20132610000410101"/>
        <s v="20132610001360006"/>
        <s v="20132610001310501"/>
        <s v="20132610000710101"/>
        <s v="20132610000700311"/>
        <s v="20132610000760014"/>
        <s v="20132610000100433"/>
        <s v="20132610000170032"/>
        <s v="20132610000160014"/>
        <s v="20132610010100322"/>
        <s v="20132610010100481"/>
        <s v="20132610010110101"/>
        <s v="20132610011310302"/>
        <s v="20132610011300444"/>
        <s v="20132610010480078"/>
        <s v="20132610010410302"/>
        <s v="20132610010800318"/>
        <s v="20132610010810302"/>
        <s v="20132610011110501"/>
        <s v="20132610011010501"/>
        <s v="20132610010310101"/>
        <s v="20132610010300421"/>
        <s v="20132610010360658"/>
        <s v="20132610010910101"/>
        <s v="20132610001401315"/>
        <s v="20132612100341428"/>
        <s v="20132610001180025"/>
        <s v="20132610001110302"/>
        <s v="20132610000200311"/>
        <s v="20132610000280025"/>
        <s v="20132610010600322"/>
        <s v="20132610010600316"/>
        <s v="20132610010700466"/>
        <s v="20132610010710302"/>
        <s v="20132610010741115"/>
        <s v="20132610011210302"/>
        <s v="20142610020100411"/>
        <s v="20142610020100344"/>
        <s v="20142610020101315"/>
        <s v="20132612100410501"/>
        <s v="20132612100310101"/>
        <s v="20132612100360005"/>
        <s v="20132612100110302"/>
        <s v="20132612100180025"/>
        <s v="20132612100510302"/>
        <s v="20132612100531401"/>
        <s v="20132612100210302"/>
        <s v="20132612100231401"/>
        <s v="20132612110410302"/>
        <s v="20132612110400411"/>
        <s v="20132612110400322"/>
        <s v="20132612110310302"/>
        <s v="20132612110380821"/>
        <s v="20132612110200388"/>
        <s v="20132612110510302"/>
        <s v="20132611700210101"/>
        <s v="20132611700110101"/>
        <s v="20132611700160356"/>
        <s v="20132611710200388"/>
        <s v="20132611710200366"/>
        <s v="20132611710110101"/>
        <s v="20132610200400467"/>
        <s v="20132610200101315"/>
        <s v="20132610200100491"/>
        <s v="20132610200210302"/>
        <s v="20132610200388101"/>
        <s v="20132610210500311"/>
        <s v="20132610210500381"/>
        <s v="20132610210200381"/>
        <s v="20132610210210302"/>
        <s v="20132610210400414"/>
        <s v="20132610210100344"/>
        <s v="20132610210100366"/>
        <s v="20132610210100388"/>
        <s v="20132610210388201"/>
        <s v="20132610200531401"/>
        <s v="20132610200510302"/>
        <s v="20142610220100433"/>
        <s v="20142610220100488"/>
        <s v="20142610220101315"/>
        <s v="20132611810200488"/>
        <s v="20132610800320045"/>
        <s v="20132610800360356"/>
        <s v="20132610800150307"/>
        <s v="20132610800180821"/>
        <s v="20132610801000388"/>
        <s v="20132610800250307"/>
        <s v="20132610800250904"/>
        <s v="20132610801400205"/>
        <s v="20132610801460302"/>
        <s v="20132610801601315"/>
        <s v="20132610801650704"/>
        <s v="20132610800820045"/>
        <s v="20132610800451202"/>
        <s v="20132610801768101"/>
        <s v="20132610801728201"/>
        <s v="20132610800688201"/>
        <s v="20132610801500311"/>
        <s v="20132610801588201"/>
        <s v="20132610810451202"/>
        <s v="20132610811000455"/>
        <s v="20132610811000388"/>
        <s v="20132610810220218"/>
        <s v="20132610810200322"/>
        <s v="20132610810280821"/>
        <s v="20132610811510101"/>
        <s v="20132610810920218"/>
        <s v="20132610810900491"/>
        <s v="20132610810350606"/>
        <s v="20132610810380821"/>
        <s v="20132610811650307"/>
        <s v="20132610811680821"/>
        <s v="20132610812098101"/>
        <s v="20132610811998101"/>
        <s v="20132610811100355"/>
        <s v="20132610811198101"/>
        <s v="20132610810788201"/>
        <s v="20132610810798101"/>
        <s v="20132610820160302"/>
        <s v="20132610820150837"/>
        <s v="20132610820180821"/>
        <s v="20132610820100205"/>
        <s v="20132610810120410"/>
        <s v="20132610810150311"/>
        <s v="20132610800501315"/>
        <s v="20132610801188201"/>
        <s v="20132610801998101"/>
        <s v="20132610801288201"/>
        <s v="20132610810850606"/>
        <s v="20132610810880821"/>
        <s v="20132610810520210"/>
        <s v="20132610810540626"/>
        <s v="20132610811288201"/>
        <s v="20132610811298101"/>
        <s v="20132610811328201"/>
        <s v="20132610801320045"/>
        <s v="20132610811450710"/>
        <s v="20142610800251006"/>
        <s v="20142610800250002"/>
        <s v="20142610800198101"/>
        <s v="20142610820540887"/>
        <s v="20142610820581004"/>
        <s v="20142610820450311"/>
        <s v="20142610820400502"/>
        <s v="20142610820351006"/>
        <s v="20142610820360334"/>
        <s v="20142610820390001"/>
        <s v="20142610820198101"/>
        <s v="20132610900188201"/>
        <s v="20132610910188201"/>
        <s v="20132610910128301"/>
        <s v="20132612300110302"/>
        <s v="20132612300210501"/>
        <s v="20132612300200205"/>
        <s v="20132612300100205"/>
        <s v="20132612300300322"/>
        <s v="20232610220100488"/>
        <s v="20232610220100444"/>
        <s v="20232610220200491"/>
        <s v="20232610220200488"/>
        <s v="20232610220200444"/>
        <s v="20232610220200461"/>
        <s v="20232610220200465"/>
        <s v="20232610220200477"/>
        <s v="20232610220210101"/>
        <s v="20232610210698101"/>
        <s v="20232610210548201"/>
        <s v="20232610210538101"/>
        <s v="20232610210800344"/>
        <s v="20232610210900442"/>
        <s v="20232610210700481"/>
        <s v="20232610512500226"/>
        <s v="20232610512200355"/>
        <s v="20232610512300382"/>
        <s v="20232610512680821"/>
        <s v="20232610512000388"/>
        <s v="20232610512490001"/>
        <s v="20232610511900388"/>
        <s v="20232610511888201"/>
        <s v="20232612210341118"/>
        <s v="20232612210300377"/>
        <s v="20232611710410101"/>
        <s v="20232611710400211"/>
        <s v="20232611710500341"/>
        <s v="20232611710620311"/>
        <s v="20232611710300377"/>
        <s v="20232610020200314"/>
        <s v="20232610020200319"/>
        <s v="20232610020200382"/>
        <s v="20232610020200372"/>
        <s v="20232610020100419"/>
        <s v="20232610020100386"/>
        <s v="20232610020100369"/>
        <s v="20232610011610101"/>
        <s v="20232610011400312"/>
        <s v="20232610011400333"/>
        <s v="20232610011200412"/>
        <s v="20232610011300311"/>
        <s v="20232610011300344"/>
        <s v="20232610011500226"/>
        <s v="20232610011520410"/>
        <s v="20232610011700328"/>
        <s v="20232610011700318"/>
        <s v="20232612111710101"/>
        <s v="20232610011810101"/>
        <s v="20232612111500318"/>
        <s v="20232612111500388"/>
        <s v="20232612111400318"/>
        <s v="20232612111300322"/>
        <s v="20232612111600388"/>
        <s v="20232612111600226"/>
        <s v="20232612111100205"/>
        <s v="20232610310400388"/>
        <s v="20232610320100322"/>
        <s v="20232610110488101"/>
        <s v="20232610410900421"/>
        <s v="20232610410700388"/>
        <s v="20232610410820911"/>
        <s v="20232610411090001"/>
        <s v="20232610411000205"/>
        <s v="20232610910520113"/>
        <s v="20232610910520410"/>
        <s v="20232610910400324"/>
        <s v="20232610820190001"/>
        <s v="20232610820100205"/>
        <s v="20232610820180821"/>
        <s v="20232610820110501"/>
        <s v="20232610813020410"/>
        <s v="20232610813000205"/>
        <s v="20232610812450230"/>
        <s v="20232610812440619"/>
        <s v="20232610812298101"/>
        <s v="20232610812188101"/>
        <s v="20232610812128401"/>
        <s v="20232610812338101"/>
        <s v="20232610812348101"/>
        <s v="20232610812088201"/>
        <s v="20232610812800205"/>
        <s v="20232610812890001"/>
        <s v="20232610812880821"/>
        <s v="20232610812600205"/>
        <s v="20232610812720510"/>
        <s v="20232610812990001"/>
        <s v="20232610812900205"/>
        <s v="20232610812520510"/>
        <s v="20232610812550028"/>
        <s v="20232610813388201"/>
        <s v="20232610813198101"/>
        <s v="20232610813288201"/>
        <s v="20242610720590001"/>
        <s v="20242610720580821"/>
        <s v="20242610720670013"/>
        <s v="20242610720681322"/>
        <s v="20242610720350311"/>
        <s v="20242610720390001"/>
        <s v="20242610720360316"/>
        <s v="20242610720290001"/>
        <s v="20242610720210501"/>
        <s v="20242610720250525"/>
        <s v="20242610720490001"/>
        <s v="20242610720450311"/>
        <s v="20242610720420841"/>
        <s v="20242610720400377"/>
        <s v="20242610720400428"/>
        <s v="20242610120190001"/>
        <s v="20242610120170013"/>
        <s v="20242610120150311"/>
        <s v="20242610120140922"/>
        <s v="20242610120390001"/>
        <s v="20242610120360316"/>
        <s v="20242610120350311"/>
        <s v="20242610120290001"/>
        <s v="20242610120280235"/>
        <s v="20242610120250311"/>
        <s v="20242610120260316"/>
        <s v="20242610520200422"/>
        <s v="20242610520200444"/>
        <s v="20242610520200455"/>
        <s v="20242610520200477"/>
        <s v="20242610320100492"/>
        <s v="20242610320100424"/>
        <s v="20242610320100426"/>
        <s v="20242612120180821"/>
        <s v="20242612120100502"/>
        <s v="20242612120170013"/>
        <s v="20242612120190001"/>
        <s v="20242610020200491"/>
        <s v="20242610020210101"/>
        <s v="20242610020200311"/>
        <s v="20242610820290001"/>
        <s v="20242610820210504"/>
        <s v="20242610820200502"/>
        <s v="20242610820251308"/>
        <s v="20242610820380821"/>
        <s v="20242610820300502"/>
        <s v="20242610820370013"/>
        <s v="20242610820390001"/>
        <s v="20232611201560646"/>
        <s v="20232610501610501"/>
        <s v="20232610501670030"/>
        <s v="20232610501700318"/>
        <s v="20232610501700316"/>
        <s v="20232610501800455"/>
        <s v="20232610501881515"/>
        <s v="20232610502098101"/>
        <s v="20232610502088201"/>
        <s v="20232610502060316"/>
        <s v="20232610502100205"/>
        <s v="20232610502160316"/>
        <s v="20232610502200461"/>
        <s v="20232610300900422"/>
        <s v="20232610301000411"/>
        <s v="20232610301000417"/>
        <s v="20232610301100411"/>
        <s v="20232610301100466"/>
        <s v="20232610301200415"/>
        <s v="20232610301200466"/>
        <s v="20232612100800322"/>
        <s v="20232612100800388"/>
        <s v="20232612100900366"/>
        <s v="20232612100900322"/>
        <s v="20232612100900311"/>
        <s v="20232612101010302"/>
        <s v="20232612101000366"/>
        <s v="20232612101000355"/>
        <s v="20232612101100322"/>
        <s v="20232612101100388"/>
        <s v="20232612101200311"/>
        <s v="20232612101200366"/>
        <s v="20232612101200322"/>
        <s v="20232612101300315"/>
        <s v="20232612101400377"/>
        <s v="20232610001700311"/>
        <s v="20232610001700316"/>
        <s v="20232610001810101"/>
        <s v="20232610001860397"/>
        <s v="20232610001800377"/>
        <s v="20232610001910101"/>
        <s v="20232610002000377"/>
        <s v="20232610002000491"/>
        <s v="20232610002100377"/>
        <s v="20232610002100366"/>
        <s v="20232610002200322"/>
        <s v="20232610002200377"/>
        <s v="20232610002300311"/>
        <s v="20232610002410101"/>
        <s v="20232610002500311"/>
        <s v="20232611700600316"/>
        <s v="20232610200700461"/>
        <s v="20232610200800417"/>
        <s v="20232610200800377"/>
        <s v="20232610200988101"/>
        <s v="20232610200900377"/>
        <s v="20232610201000471"/>
        <s v="20232610803360646"/>
        <s v="20232611700300366"/>
        <s v="20232611700500316"/>
        <s v="20232611700600311"/>
        <s v="20232611800100411"/>
        <s v="20232612200400466"/>
        <s v="20232612200400411"/>
        <s v="20232612200500417"/>
        <s v="20232612200600466"/>
        <s v="20232611201110302"/>
        <s v="20232611201200455"/>
        <s v="20232611201388101"/>
        <s v="20232611201450904"/>
        <s v="20232611101810101"/>
        <s v="20232611000110302"/>
        <s v="20232611000190001"/>
        <s v="20232610900188101"/>
        <s v="20232610802068101"/>
        <s v="20232610802088601"/>
        <s v="20232610802188101"/>
        <s v="20232610802188201"/>
        <s v="20232610802270048"/>
        <s v="20232610802380821"/>
        <s v="20232610802300205"/>
        <s v="20232610803310101"/>
        <s v="20232610802420406"/>
        <s v="20232610802410501"/>
        <s v="20232610802470030"/>
        <s v="20232610802588102"/>
        <s v="20232610802610101"/>
        <s v="20232610802688601"/>
        <s v="20232610802668101"/>
        <s v="20232610802860316"/>
        <s v="20232610802800455"/>
        <s v="20232610802998101"/>
        <s v="20232610802988201"/>
        <s v="20232610803060316"/>
        <s v="20232610803000205"/>
        <s v="20232610803090001"/>
        <s v="20232610803150904"/>
        <s v="20232610803120410"/>
        <s v="20232611700300391"/>
        <s v="20232610401200377"/>
        <s v="20232610401200388"/>
        <s v="20232610401300366"/>
        <s v="20232610401300322"/>
        <s v="20232610401400311"/>
        <s v="20232610401400388"/>
        <s v="20232610401500366"/>
        <s v="20232610401600322"/>
        <s v="20232610401700388"/>
        <s v="20232611202700311"/>
        <s v="20232610100488201"/>
        <s v="20232610520190001"/>
        <s v="20232610520170048"/>
        <s v="20232610520120113"/>
        <s v="20232610801890001"/>
        <s v="20232610801800205"/>
        <s v="20232610801610402"/>
        <s v="20232610801620928"/>
        <s v="20232610801581617"/>
        <s v="20232610801561323"/>
        <s v="20232610801550909"/>
        <s v="20232610801420608"/>
        <s v="20232610501550335"/>
        <s v="20232610501461312"/>
        <s v="20232610501430001"/>
        <s v="20232610100350335"/>
        <s v="20232611201080022"/>
        <s v="20232612100770048"/>
        <s v="20232610001501315"/>
        <s v="20232610001410402"/>
        <s v="20232610001400355"/>
        <s v="20232610001350311"/>
        <s v="20232610001200318"/>
        <s v="20232610001110101"/>
        <s v="20232610501260356"/>
        <s v="20232610001010101"/>
        <s v="20232610001000377"/>
        <s v="20232610001080022"/>
        <s v="20232612100670048"/>
        <s v="20232612100510402"/>
        <s v="20232612100400311"/>
        <s v="20232612100401315"/>
        <s v="20232612100400333"/>
        <s v="20232612100310402"/>
        <s v="20232612100361312"/>
        <s v="20232611700210101"/>
        <s v="20232611700200378"/>
        <s v="20232610400870048"/>
        <s v="20232610400781617"/>
        <s v="20232610400700211"/>
        <s v="20232610400500381"/>
        <s v="20232610400500377"/>
        <s v="20232610801220406"/>
        <s v="20232610801150909"/>
        <s v="20232610801120928"/>
        <s v="20232610801020608"/>
        <s v="20232610801070048"/>
        <s v="20232610501361312"/>
        <s v="20232610501370048"/>
        <s v="20232610501200322"/>
        <s v="20232610501100366"/>
        <s v="20232610501170048"/>
        <s v="20232610501100311"/>
        <s v="20232610501070048"/>
        <s v="20232610500970048"/>
        <s v="20232610500800311"/>
        <s v="20232610500800322"/>
        <s v="20232610500861312"/>
        <s v="20232610500720045"/>
        <s v="20232610500780022"/>
        <s v="20232611200950909"/>
        <s v="20232610811990001"/>
        <s v="20232610811720911"/>
        <s v="20232610811790001"/>
        <s v="20232610811690001"/>
        <s v="20232610811590001"/>
        <s v="20232610811520911"/>
        <s v="20232610511720048"/>
        <s v="20232610511680924"/>
        <s v="20232610511500429"/>
        <s v="20232610110280520"/>
        <s v="20232611710210302"/>
        <s v="20232612111020989"/>
        <s v="20232610011100334"/>
        <s v="20232610011100322"/>
        <s v="20232610011010302"/>
        <s v="20232610011031398"/>
        <s v="20232610010990001"/>
        <s v="20232610010810302"/>
        <s v="20232610010741184"/>
        <s v="20232610010710302"/>
        <s v="20232610010700488"/>
        <s v="20232610010610302"/>
        <s v="20232610010680403"/>
        <s v="20232610010510302"/>
        <s v="20232610010500444"/>
        <s v="20232612110880924"/>
        <s v="20232612110841746"/>
        <s v="20232612110500334"/>
        <s v="20232612110500391"/>
        <s v="20232612110400322"/>
        <s v="20232612110400388"/>
        <s v="20232612110420911"/>
        <s v="20232611710100411"/>
        <s v="20232610410500392"/>
        <s v="20232610410500322"/>
        <s v="20232610410400444"/>
        <s v="20232610410400419"/>
        <s v="20232610910290001"/>
        <s v="20232610910220911"/>
        <s v="20232610811120911"/>
        <s v="20232610811090001"/>
        <s v="20232610811020911"/>
        <s v="20232610810990001"/>
        <s v="20232610511400336"/>
        <s v="20232610511400334"/>
        <s v="20232610511400372"/>
        <s v="20232610511300388"/>
        <s v="20232610511280924"/>
        <s v="20232610511290001"/>
        <s v="20232610511100482"/>
        <s v="20232610511000428"/>
        <s v="20232610511000492"/>
        <s v="20232610510900344"/>
        <s v="20232610510900391"/>
        <s v="20232610510900331"/>
        <s v="20232610510800488"/>
        <s v="20232610512900344"/>
        <s v="20232610510730340"/>
        <s v="20232610110120045"/>
        <s v="20242610820190001"/>
        <s v="20242610020190001"/>
        <s v="20242610020120048"/>
        <s v="20242610020170013"/>
        <s v="20242610720190001"/>
        <s v="20242610720170013"/>
        <s v="20242610620190001"/>
        <s v="20242610620120048"/>
        <s v="20242610620170013"/>
        <s v="20232610510250334"/>
        <s v="20232610510198101"/>
        <s v="20232610310300344"/>
        <s v="20232610310100322"/>
        <s v="20232610310100355"/>
        <s v="20232610210400322"/>
        <s v="20232610210300324"/>
        <s v="20232610210300388"/>
        <s v="20232612210100389"/>
        <s v="20232610010210101"/>
        <s v="20232610010200354"/>
        <s v="20232610010200315"/>
        <s v="20232610010200913"/>
        <s v="20232610010310101"/>
        <s v="20232610010450946"/>
        <s v="20232610010110101"/>
        <s v="20232612110381226"/>
        <s v="20232612110201132"/>
        <s v="20232612110200226"/>
        <s v="20232612110280921"/>
        <s v="20232612110100321"/>
        <s v="20232612110120171"/>
        <s v="20232610410300389"/>
        <s v="20232610810650334"/>
        <s v="20232610810300322"/>
        <s v="20232610810100344"/>
        <s v="20232610810100395"/>
        <s v="20232610810898101"/>
        <s v="20232610810898201"/>
        <s v="20232610810850946"/>
        <s v="20232610510500319"/>
        <s v="20232610510400392"/>
        <s v="20232610310200322"/>
        <s v="20232612210200391"/>
        <s v="20232610210110101"/>
        <s v="20232610210200361"/>
        <s v="20232610810250311"/>
        <s v="20232610500450307"/>
        <s v="20232610500461206"/>
        <s v="20232610500100466"/>
        <s v="20232610402300422"/>
        <s v="20232610300300433"/>
        <s v="20232610300100466"/>
        <s v="20232610300100444"/>
        <s v="20232610300400422"/>
        <s v="20232610300210101"/>
        <s v="20232612200200444"/>
        <s v="20232610200610101"/>
        <s v="20232610200310101"/>
        <s v="20232610200200444"/>
        <s v="20232610000610101"/>
        <s v="20232610000510101"/>
        <s v="20232610000410101"/>
        <s v="20232610000300411"/>
        <s v="20232610201410101"/>
        <s v="20232610000100422"/>
        <s v="20232612100200444"/>
        <s v="20232611101600444"/>
        <s v="20232611100400422"/>
        <s v="20232611101500422"/>
        <s v="20232611100600411"/>
        <s v="20232611100500466"/>
        <s v="20232610400300422"/>
        <s v="20232610400100488"/>
        <s v="20232611200300422"/>
        <s v="20232611200100499"/>
        <s v="20232612300290001"/>
        <s v="20232612300200205"/>
        <s v="20232612300190001"/>
        <s v="20232610800400488"/>
        <s v="20232610800400499"/>
        <s v="20232610800800422"/>
        <s v="20232610800700499"/>
        <s v="20232610800600499"/>
        <s v="20232610800650307"/>
        <s v="20232610500200364"/>
        <s v="20232610300700322"/>
        <s v="20232610300761206"/>
        <s v="20232610300500322"/>
        <s v="20232610300600311"/>
        <s v="20232612200100391"/>
        <s v="20232610100290001"/>
        <s v="20232610200110101"/>
        <s v="20232610200400333"/>
        <s v="20232610000810101"/>
        <s v="20232610000700104"/>
        <s v="20232610000761206"/>
        <s v="20232610000900311"/>
        <s v="20232611101400391"/>
        <s v="20232611100990001"/>
        <s v="20232611100198101"/>
        <s v="20232611101700311"/>
        <s v="20232611100800364"/>
        <s v="20232611200590001"/>
        <s v="20232611200790001"/>
        <s v="20232611200651202"/>
        <s v="20232610800388201"/>
        <s v="20232610800198201"/>
        <s v="20232610800251202"/>
        <s v="20232611101100388"/>
        <s v="20232611101101315"/>
        <s v="20232611101300377"/>
        <s v="20232611101010101"/>
        <s v="20232611101000377"/>
        <s v="20232610100100373"/>
        <s v="20232610200510101"/>
        <s v="20232611200288201"/>
        <s v="20232611100288201"/>
        <s v="20232611100300337"/>
        <s v="20632616920100399"/>
        <s v="20632616920100311"/>
        <s v="20632616920101315"/>
        <s v="20632616901300377"/>
        <s v="20632616901200377"/>
        <s v="20632616901000311"/>
        <s v="20632616900901315"/>
        <s v="20632616900200377"/>
        <s v="20632616900100311"/>
        <s v="20632616900100333"/>
        <s v="20632616902100311"/>
        <s v="20632616902100377"/>
        <s v="20632616900500311"/>
        <s v="20632616900500355"/>
        <s v="20632616900800377"/>
        <s v="20632616902001315"/>
        <s v="20632616902000355"/>
        <s v="20632616901900333"/>
        <s v="20632616901900344"/>
        <s v="20632616901800377"/>
        <s v="20632616901700377"/>
        <s v="20632616900600311"/>
        <s v="20632616901600377"/>
        <s v="20632617101600317"/>
        <s v="20632617101400317"/>
        <s v="20632617101300317"/>
        <s v="20632617101100317"/>
        <s v="20632617101000317"/>
        <s v="20632617100900334"/>
        <s v="20632617100801315"/>
        <s v="20632617100700311"/>
        <s v="20632617100600314"/>
        <s v="20632617100501315"/>
        <s v="20632617100301315"/>
        <s v="20632619500700311"/>
        <s v="20632619500700333"/>
        <s v="20632619500600311"/>
        <s v="20632619500400311"/>
        <s v="20632619500300311"/>
        <s v="20632619500200311"/>
        <s v="20632619500100311"/>
        <s v="20632619500100333"/>
        <s v="20632617001500388"/>
        <s v="20632617001300336"/>
        <s v="20632617001200388"/>
        <s v="20632617001200366"/>
        <s v="20632617001100377"/>
        <s v="20632617001000377"/>
        <s v="20632617000800377"/>
        <s v="20632617000700377"/>
        <s v="20632617000700333"/>
        <s v="20632617000600333"/>
        <s v="20632617000601315"/>
        <s v="20632617000600388"/>
        <s v="20632616910400344"/>
        <s v="20632616911200388"/>
        <s v="20632616910100388"/>
        <s v="20632616910100322"/>
        <s v="20632616911300344"/>
        <s v="20632616911100322"/>
        <s v="20632616911000344"/>
        <s v="20632616910900388"/>
        <s v="20632616910300388"/>
        <s v="20632616910200322"/>
        <s v="20632617110700392"/>
        <s v="20632617110600318"/>
        <s v="20632617110400355"/>
        <s v="20632617110300388"/>
        <s v="20632617011000333"/>
        <s v="20632617011000381"/>
        <s v="20632617010900328"/>
        <s v="20632617010900348"/>
        <s v="20632617010800311"/>
        <s v="20632617010800388"/>
        <s v="20632617010800344"/>
        <s v="20632617010700348"/>
        <s v="20632617010600328"/>
        <s v="20632617010600344"/>
        <s v="20632616901501315"/>
        <s v="20632616901400311"/>
        <s v="20632616901400377"/>
        <s v="20632617100201315"/>
        <s v="20632617100100333"/>
        <s v="20632617000100311"/>
        <s v="20632617000501315"/>
        <s v="20632617000500366"/>
        <s v="20632617000401315"/>
        <s v="20632617000300337"/>
        <s v="20632617000201315"/>
        <s v="20632616910500388"/>
        <s v="20632616910800311"/>
        <s v="20632616910700388"/>
        <s v="20632616910600318"/>
        <s v="20632617110200388"/>
        <s v="20632617110100314"/>
        <s v="20632617010500388"/>
        <s v="20632617010400328"/>
        <s v="20632617010300344"/>
        <s v="20632617010300388"/>
        <s v="20632617010200355"/>
        <s v="20632617010200322"/>
        <s v="20632617010100322"/>
        <s v="20642616920100388"/>
        <s v="20642616920100491"/>
        <s v="20642616920100311"/>
        <s v="20642617120100311"/>
        <s v="20642617120101315"/>
        <s v="20642616900500311"/>
        <s v="20642616900400311"/>
        <s v="20642616900401315"/>
        <s v="20642616900301315"/>
        <s v="20642616900200377"/>
        <s v="20642616910400311"/>
        <s v="20642616910400344"/>
        <s v="20642616910300491"/>
        <s v="20642616910200322"/>
        <s v="20642616900100311"/>
        <s v="20642616910100322"/>
        <s v="20632617101700355"/>
        <s v="20692619500400311"/>
        <s v="20692619500200311"/>
        <s v="20692619500600311"/>
        <s v="20692619500600366"/>
        <s v="20692619500600355"/>
        <s v="20692619500500311"/>
        <s v="20692619500500366"/>
        <s v="20692617220100311"/>
        <s v="20692617200100311"/>
        <s v="20692617200200311"/>
        <s v="20692617200300311"/>
        <s v="20692617200400311"/>
        <s v="20632617210100388"/>
        <s v="20632617210100391"/>
        <s v="20632617200100336"/>
        <s v="20632617220100321"/>
        <s v="20632617220100388"/>
        <s v="20632617220100386"/>
        <s v="20632617220100384"/>
        <s v="20632617220100322"/>
        <s v="20632617220100318"/>
        <s v="20632617220100366"/>
        <s v="20632617200200358"/>
        <s v="20632617220200381"/>
        <s v="20632617210200382"/>
        <s v="20632617210300342"/>
        <s v="20632617200300361"/>
        <s v="20632617210400381"/>
        <s v="20632617200400367"/>
        <s v="20632617210500388"/>
        <s v="20632617200500373"/>
        <s v="20632617210600381"/>
        <s v="20632617200600371"/>
        <s v="20632617210700355"/>
        <s v="20632617200700363"/>
        <s v="20632617210800355"/>
        <s v="20632617210900345"/>
        <s v="20632617210900381"/>
        <s v="20632617210900382"/>
        <s v="20632617200800331"/>
        <s v="20632617200800361"/>
        <s v="20632617200800318"/>
        <s v="20632617211000318"/>
        <s v="20632617200900316"/>
        <s v="20632617201000361"/>
        <s v="20632617201100361"/>
        <s v="20632617201100319"/>
        <s v="20632617201100331"/>
        <s v="20632617201200317"/>
        <s v="20632617201300312"/>
        <s v="20632617201400312"/>
        <s v="20632617201500319"/>
        <s v="20632617201600312"/>
        <s v="20632617201800319"/>
        <s v="20632617201900311"/>
        <s v="20632617201900322"/>
        <s v="20632617202000311"/>
        <s v="20632617202100311"/>
        <s v="20632617202100322"/>
        <s v="20632617211100388"/>
        <s v="20632617202200317"/>
        <s v="20632617211200391"/>
        <s v="20632617202400367"/>
        <s v="20632617202500363"/>
        <s v="20632617202500319"/>
        <s v="20632617202600368"/>
        <s v="20632617220300381"/>
        <s v="20632617220300385"/>
        <s v="20632617220300393"/>
        <s v="20632617220400355"/>
        <s v="20632617220400366"/>
        <s v="20632617220400333"/>
        <s v="20632617211300388"/>
        <s v="20632617202700366"/>
        <s v="20632617202800361"/>
        <s v="20632617203200333"/>
        <s v="20632617203200366"/>
        <s v="20632617203200377"/>
        <s v="20632617203200388"/>
        <s v="20632617220900368"/>
        <s v="20632617220900313"/>
        <s v="20632617220900341"/>
        <s v="20632617220900391"/>
        <s v="20632617221100361"/>
        <s v="20632617203400366"/>
        <s v="20632617203800318"/>
        <s v="20632617221500368"/>
        <s v="20632617221900388"/>
        <s v="20732616620160001"/>
        <s v="20732616621000377"/>
        <s v="20732616620100384"/>
        <s v="20732616620200388"/>
        <s v="20732616620360001"/>
        <s v="20732616620380802"/>
        <s v="20732616620480901"/>
        <s v="20732616620450401"/>
        <s v="20732616620400369"/>
        <s v="20732616600160001"/>
        <s v="20732616600200377"/>
        <s v="20732616600380901"/>
        <s v="20732616610100392"/>
        <s v="20732616600560001"/>
        <s v="20732616610380802"/>
        <s v="20732616600600388"/>
        <s v="20732616610400386"/>
        <s v="20732616610500396"/>
        <s v="20732616600700377"/>
        <s v="20732616610600388"/>
        <s v="20732616600800377"/>
        <s v="20732616610720911"/>
        <s v="20732616601080001"/>
        <s v="20732616610900388"/>
        <s v="20732616611000377"/>
        <s v="20732616601100388"/>
        <s v="20732616620560001"/>
        <s v="20732616620500334"/>
        <s v="20732616620600334"/>
        <s v="20732616620660001"/>
        <s v="20732616601220310"/>
        <s v="20732616601400344"/>
        <s v="20732616601551001"/>
        <s v="20732616601651001"/>
        <s v="20732616620700355"/>
        <s v="20732616620760001"/>
        <s v="20732616620700333"/>
        <s v="20732616620800308"/>
        <s v="20732616620800407"/>
        <s v="20732616621500305"/>
        <s v="20732616620860001"/>
        <s v="20732616620900388"/>
        <s v="20732616620960101"/>
        <s v="20732616621100368"/>
        <s v="20732616020100355"/>
        <s v="20732616020160001"/>
        <s v="20732616020100333"/>
        <s v="20732616020200355"/>
        <s v="20732616020260001"/>
        <s v="20732616020380802"/>
        <s v="20732616000100310"/>
        <s v="20732616000160001"/>
        <s v="20732616000100388"/>
        <s v="20732616020400428"/>
        <s v="20732616021360101"/>
        <s v="20732616020500355"/>
        <s v="20732616010180802"/>
        <s v="20732616020600388"/>
        <s v="20732616000200377"/>
        <s v="20732616000370001"/>
        <s v="20732616010200311"/>
        <s v="20732616020800355"/>
        <s v="20732616020900358"/>
        <s v="20732616020950601"/>
        <s v="20732616020960001"/>
        <s v="20732616010300392"/>
        <s v="20732616000600435"/>
        <s v="20732616010400428"/>
        <s v="20732616000760001"/>
        <s v="20732616000700388"/>
        <s v="20732616000700333"/>
        <s v="20732616010580201"/>
        <s v="20732616010550301"/>
        <s v="20732616001150801"/>
        <s v="20732617400100377"/>
        <s v="20732617400200377"/>
        <s v="20732617400300333"/>
        <s v="20732617400400333"/>
        <s v="20732617400500377"/>
        <s v="20732617400760001"/>
        <s v="20732617400900355"/>
        <s v="20732617401000388"/>
        <s v="20732617401100388"/>
        <s v="20732617401200388"/>
        <s v="20732617401300388"/>
        <s v="20732617401400388"/>
        <s v="20732617401500377"/>
        <s v="20732617401600377"/>
        <s v="20732617401700377"/>
        <s v="20732617401801001"/>
        <s v="20732617401960001"/>
        <s v="20732617402060001"/>
        <s v="20732617402260001"/>
        <s v="20732617402360001"/>
        <s v="20732617402460001"/>
        <s v="20732617402560001"/>
        <s v="20732617402660001"/>
        <s v="20732617402760001"/>
        <s v="20732617402860001"/>
        <s v="20732617402960001"/>
        <s v="20732617403060001"/>
        <s v="20732617403160001"/>
        <s v="20732617420160001"/>
        <s v="20732617403260001"/>
        <s v="20732617403360001"/>
        <s v="20732617403460001"/>
        <s v="20732617403560001"/>
        <s v="20732617410100388"/>
        <s v="20732617403660001"/>
        <s v="20732617403760001"/>
        <s v="20732617404060001"/>
        <s v="20732617410200388"/>
        <s v="20732617404260001"/>
        <s v="20732617420360001"/>
        <s v="20732617420460001"/>
        <s v="20792617820400388"/>
        <s v="20792617820500388"/>
        <s v="20732617404360001"/>
        <s v="20732617404400377"/>
        <s v="20732617410300388"/>
        <s v="20732617420800388"/>
        <s v="20732617404600377"/>
        <s v="20732617900100377"/>
        <s v="20732617900260001"/>
        <s v="20732617910100388"/>
        <s v="20732617910200439"/>
        <s v="20732617900400387"/>
        <s v="20732617910400388"/>
        <s v="20432614610100355"/>
        <s v="20432614600160301"/>
        <s v="20432614600260301"/>
        <s v="20432614600200377"/>
        <s v="20432614610200388"/>
        <s v="20432614610300335"/>
        <s v="20432614600300315"/>
        <s v="20432614610400354"/>
        <s v="20432614600400390"/>
        <s v="20432614610500313"/>
        <s v="20432614600560301"/>
        <s v="20432614610600315"/>
        <s v="20432614610600319"/>
        <s v="20432614600600310"/>
        <s v="20432614610700315"/>
        <s v="20432614600810301"/>
        <s v="20432614600960301"/>
        <s v="20432614600900317"/>
        <s v="20432614600900422"/>
        <s v="20432614610800315"/>
        <s v="20432614610820301"/>
        <s v="20432614601070001"/>
        <s v="20432614601000311"/>
        <s v="20432614610900345"/>
        <s v="20432614611000319"/>
        <s v="20432614611000315"/>
        <s v="20432614601109001"/>
        <s v="20432614601160301"/>
        <s v="20432614611300355"/>
        <s v="20432614601410301"/>
        <s v="20432614611400399"/>
        <s v="20432614601600310"/>
        <s v="20432614611500382"/>
        <s v="20432614611510301"/>
        <s v="20432614601760301"/>
        <s v="20432614611600355"/>
        <s v="20432614611680201"/>
        <s v="20432614601810301"/>
        <s v="20432614601800310"/>
        <s v="20432614611700323"/>
        <s v="20432614601900317"/>
        <s v="20432614602160301"/>
        <s v="20432614010100322"/>
        <s v="20432614010100328"/>
        <s v="20432614010120301"/>
        <s v="20432614019900311"/>
        <s v="20432614010200202"/>
        <s v="20432614012600324"/>
        <s v="20432614010300392"/>
        <s v="20432614010300319"/>
        <s v="20432614000100326"/>
        <s v="20432614002600326"/>
        <s v="20432614002600324"/>
        <s v="20432614000300317"/>
        <s v="20432614000300355"/>
        <s v="20432614000400355"/>
        <s v="20432614000500310"/>
        <s v="20432614000700318"/>
        <s v="20432614000710303"/>
        <s v="20432614000810303"/>
        <s v="20432614001060301"/>
        <s v="20432614001160301"/>
        <s v="20432614001100318"/>
        <s v="20432614001220301"/>
        <s v="20432614001260301"/>
        <s v="20432614001200318"/>
        <s v="20432614001310301"/>
        <s v="20432614001320301"/>
        <s v="20432614010400491"/>
        <s v="20432614010500416"/>
        <s v="20432614010500319"/>
        <s v="20432614100120301"/>
        <s v="20432614100100377"/>
        <s v="20432614100200377"/>
        <s v="20432614100200301"/>
        <s v="20432614100310301"/>
        <s v="20432614100360301"/>
        <s v="20432614100300317"/>
        <s v="20432614100410301"/>
        <s v="20432614100400322"/>
        <s v="20432614100510301"/>
        <s v="20432614100500317"/>
        <s v="20432614100730201"/>
        <s v="20432614100700317"/>
        <s v="20432614100800311"/>
        <s v="20432614100900322"/>
        <s v="20432614101000382"/>
        <s v="20432614101010301"/>
        <s v="20432614101000317"/>
        <s v="20432614101130201"/>
        <s v="20432614101120301"/>
        <s v="20432614101200301"/>
        <s v="20432614101300417"/>
        <s v="20432614101700310"/>
        <s v="20432614101700377"/>
        <s v="20432614110100318"/>
        <s v="20432614110310301"/>
        <s v="20432614110300318"/>
        <s v="20432614110300312"/>
        <s v="20432614110410301"/>
        <s v="20432614110410401"/>
        <s v="20432614110400322"/>
        <s v="20432614110500322"/>
        <s v="20432614110600322"/>
        <s v="20432614110800322"/>
        <s v="20432614101990001"/>
        <s v="20432614102090001"/>
        <s v="20432614102020301"/>
        <s v="20432614102190001"/>
        <s v="20432614103010301"/>
        <s v="20432614102690001"/>
        <s v="20432614102610301"/>
        <s v="20432614102620301"/>
        <s v="20432614119790001"/>
        <s v="20432614109690001"/>
        <s v="20432614010600329"/>
        <s v="20432614010600398"/>
        <s v="20432614010700396"/>
        <s v="20432614010700393"/>
        <s v="20432614010700398"/>
        <s v="20432614010800386"/>
        <s v="20432614010900391"/>
        <s v="20432614010900398"/>
        <s v="20432614010900318"/>
        <s v="20432614001400314"/>
        <s v="20432614001400376"/>
        <s v="20432614011000398"/>
        <s v="20432614011000397"/>
        <s v="20432614000600391"/>
        <s v="20432614002700397"/>
        <s v="20432614011100394"/>
        <s v="20432614011100363"/>
        <s v="20432614011170001"/>
        <s v="20432614011200394"/>
        <s v="20432614011200322"/>
        <s v="20432614001600377"/>
        <s v="20432614001610301"/>
        <s v="20432614011300442"/>
        <s v="20432614011300391"/>
        <s v="20432614011400396"/>
        <s v="20432614001700377"/>
        <s v="20432614001710301"/>
        <s v="20432614011600340"/>
        <s v="20432614011700392"/>
        <s v="20432614011800392"/>
        <s v="20432614019500311"/>
        <s v="20432614019590001"/>
        <s v="20432614019400311"/>
        <s v="20432614002010301"/>
        <s v="20432614012100322"/>
        <s v="20432614012500442"/>
        <s v="20432614002100377"/>
        <s v="20432614002200396"/>
        <s v="20432614002800324"/>
        <s v="20432614002400355"/>
        <s v="20432614012200328"/>
        <s v="20432614012220301"/>
        <s v="20432614012300392"/>
        <s v="20432614002500310"/>
        <s v="20442614600500315"/>
        <s v="20442614610500393"/>
        <s v="20442614610550901"/>
        <s v="20442614600600327"/>
        <s v="20442614600610301"/>
        <s v="20442614100190001"/>
        <s v="20442614100260301"/>
        <s v="20442614100300377"/>
        <s v="20442614110100322"/>
        <s v="20442614110100355"/>
        <s v="20442614110200329"/>
        <s v="20442614110200300"/>
        <s v="20442614010100392"/>
        <s v="20442614000100397"/>
        <s v="20442614000100390"/>
        <s v="20442614010100398"/>
        <s v="20442614010300359"/>
        <s v="20442614000300390"/>
        <s v="20232611201398101"/>
        <s v="20492614110900311"/>
      </sharedItems>
    </cacheField>
    <cacheField name="款色图" numFmtId="0">
      <sharedItems containsBlank="1" count="539">
        <s v=""/>
        <s v="=DISPIMG(&quot;ID_8FF7CDD2522940E48DE3C855EB29A333&quot;,1)"/>
        <s v="=DISPIMG(&quot;ID_FA4D312143A543F7B8A5E377A0E4827B&quot;,1)"/>
        <s v="=DISPIMG(&quot;ID_173BC89E61064A9DBF5F78E44EAC1F2D&quot;,1)"/>
        <s v="=DISPIMG(&quot;ID_E56DFC174CF04CEF8F7FAF4B035D32EA&quot;,1)"/>
        <s v="=DISPIMG(&quot;ID_676EA8B75F504702A95AB3CE17940031&quot;,1)"/>
        <s v="=DISPIMG(&quot;ID_249622BFF4BC4D2B998397FD1152FAF4&quot;,1)"/>
        <s v="=DISPIMG(&quot;ID_51504BCA269A478B92D4879A17833766&quot;,1)"/>
        <s v="=DISPIMG(&quot;ID_1270714E87DF4562AA1AC3E338C55D48&quot;,1)"/>
        <s v="=DISPIMG(&quot;ID_BE214356C1AE485ABB948DEE7E4C9204&quot;,1)"/>
        <s v="=DISPIMG(&quot;ID_03BFF911960D457AB93B054A82B6C0CF&quot;,1)"/>
        <s v="=DISPIMG(&quot;ID_BEB2D5CF22314AA88A565D3E7C4AFED5&quot;,1)"/>
        <s v="=DISPIMG(&quot;ID_D6C879F0F0E14D0B845FA2F337EAB887&quot;,1)"/>
        <s v="=DISPIMG(&quot;ID_5B0F4D1F09264612A77CF60DD56ED13F&quot;,1)"/>
        <s v="=DISPIMG(&quot;ID_B83BAD358D7044C78E28533B8F795757&quot;,1)"/>
        <s v="=DISPIMG(&quot;ID_FBAF3ABCD3F949C9BD5564C60A25CFB6&quot;,1)"/>
        <s v="=DISPIMG(&quot;ID_7FF7876ECAF34635ABF77705C5D5735D&quot;,1)"/>
        <s v="=DISPIMG(&quot;ID_A1C37C390C2D4426AD789BD1BADEB654&quot;,1)"/>
        <s v="=DISPIMG(&quot;ID_36AA03101F99473DADFB78ABA15F2AD5&quot;,1)"/>
        <s v="=DISPIMG(&quot;ID_38C07B35ADC74D8E9F84C03CFC401977&quot;,1)"/>
        <s v="=DISPIMG(&quot;ID_0BAFDE8CD8FC4351991BF21C7D794370&quot;,1)"/>
        <s v="=DISPIMG(&quot;ID_C4F6CC72B2664D159A894814877F7504&quot;,1)"/>
        <s v="=DISPIMG(&quot;ID_7C06175F74B44490914C9863AFB83130&quot;,1)"/>
        <s v="=DISPIMG(&quot;ID_526D7F77D1A84024B220EB46C38798BA&quot;,1)"/>
        <s v="=DISPIMG(&quot;ID_FFE6BAED058D4443B101EFAE46223921&quot;,1)"/>
        <s v="=DISPIMG(&quot;ID_4DBF02C26CC84ABCB7760DAAC5C1F4B5&quot;,1)"/>
        <s v="=DISPIMG(&quot;ID_72D1C7BA814A457F8B23148D063AD609&quot;,1)"/>
        <s v="=DISPIMG(&quot;ID_631F4D04B78C47E387F4A4397B8F3D8E&quot;,1)"/>
        <s v="=DISPIMG(&quot;ID_69D8A47EF78D400FB9F9DB1C0A28F0F6&quot;,1)"/>
        <s v="=DISPIMG(&quot;ID_7284089A251B49AD9BEA69FD33E79D0B&quot;,1)"/>
        <s v="=DISPIMG(&quot;ID_42A339EE496748DC8063C22E2DC41C15&quot;,1)"/>
        <s v="=DISPIMG(&quot;ID_05E18FB6BF004E31B8A9DDC3FBBAEF41&quot;,1)"/>
        <s v="=DISPIMG(&quot;ID_A8E3D6868B694944A90EE1C5ACB7FFF7&quot;,1)"/>
        <s v="=DISPIMG(&quot;ID_9B7EE80203F343B98BA3C2AB57F234D8&quot;,1)"/>
        <s v="=DISPIMG(&quot;ID_D680F57F71EE4ECBB56C9C530864EAD1&quot;,1)"/>
        <s v="=DISPIMG(&quot;ID_6C9D9C822A934B9EB611E3D4E9738513&quot;,1)"/>
        <s v="=DISPIMG(&quot;ID_0A953BDCEACD4E3D8E5AFD1A07EFF737&quot;,1)"/>
        <s v="=DISPIMG(&quot;ID_E81B9C1AC71A4AD4B4D384BEB708F473&quot;,1)"/>
        <s v="=DISPIMG(&quot;ID_913E7B6C7A9F4AB9A568F8C2BAC0EDE7&quot;,1)"/>
        <s v="=DISPIMG(&quot;ID_3873F02DCC5945DA8ED1A94BC6DFFAA1&quot;,1)"/>
        <s v="=DISPIMG(&quot;ID_19C08F200A4E49DEAE6EFF96915DD7D7&quot;,1)"/>
        <s v="=DISPIMG(&quot;ID_B3FA53DB5A9C483BAC760D7EA30CBC03&quot;,1)"/>
        <s v="=DISPIMG(&quot;ID_FEF26CD5F0FD4E6B998F1DB217A3CE33&quot;,1)"/>
        <s v="=DISPIMG(&quot;ID_5C81B97310254588B112A4858CABF16D&quot;,1)"/>
        <s v="=DISPIMG(&quot;ID_31A769D391C44865A9C29ACDEF970679&quot;,1)"/>
        <s v="=DISPIMG(&quot;ID_E39EADA2D6B949D19E1A5C16DFC6F8F1&quot;,1)"/>
        <s v="=DISPIMG(&quot;ID_AD393E61C6784E79BA685B3BC3EE20A2&quot;,1)"/>
        <s v="=DISPIMG(&quot;ID_A7771B060C274B2C96760BE336D0A686&quot;,1)"/>
        <s v="=DISPIMG(&quot;ID_D4730F96D8484E5A91AE2C325853EA4A&quot;,1)"/>
        <s v="=DISPIMG(&quot;ID_C60415CF751848B8AA837A02FB31001F&quot;,1)"/>
        <s v="=DISPIMG(&quot;ID_5AF3F3AEE84D4F05ADD11AF783E42EBC&quot;,1)"/>
        <s v="=DISPIMG(&quot;ID_AA9D69E244544537B7135C49F7DC1721&quot;,1)"/>
        <s v="=DISPIMG(&quot;ID_8091E0A39D0A41169C59688D5CF47237&quot;,1)"/>
        <s v="=DISPIMG(&quot;ID_6A913D69D031440382315D9A718F4409&quot;,1)"/>
        <s v="=DISPIMG(&quot;ID_EE117B3912784351BA5111A634A78399&quot;,1)"/>
        <s v="=DISPIMG(&quot;ID_CA7833625F184981AD2BCCCEBAD87EBB&quot;,1)"/>
        <s v="=DISPIMG(&quot;ID_D5D818AE82FC4D63B401287A7D7FB964&quot;,1)"/>
        <s v="=DISPIMG(&quot;ID_EE9D97D3656B43A4BFDF47B62F8B1A30&quot;,1)"/>
        <s v="=DISPIMG(&quot;ID_99F1D79EB71E469699591250BC2B475D&quot;,1)"/>
        <s v="=DISPIMG(&quot;ID_F474ACCFF27140B5BA51DA6252A90D07&quot;,1)"/>
        <s v="=DISPIMG(&quot;ID_A2E5C205FA1648F1B73DE28AC7EA9A40&quot;,1)"/>
        <s v="=DISPIMG(&quot;ID_A603C96E9F894A4A80C1876896F82261&quot;,1)"/>
        <s v="=DISPIMG(&quot;ID_30A00587399E44DA8277387C14EA4A9A&quot;,1)"/>
        <s v="=DISPIMG(&quot;ID_4154D477D28648A29D445A43A6C50CC1&quot;,1)"/>
        <s v="=DISPIMG(&quot;ID_52861550239F46299A8767736390EC04&quot;,1)"/>
        <s v="=DISPIMG(&quot;ID_54DF6BBE238741E6BD409E4E2144C337&quot;,1)"/>
        <s v="=DISPIMG(&quot;ID_CE57D91F72E24FF0BD0529D489DA68D8&quot;,1)"/>
        <s v="=DISPIMG(&quot;ID_CCF47F3C49584089A0AEE9C1612F2D0B&quot;,1)"/>
        <s v="=DISPIMG(&quot;ID_A9AD554CAB414B6E99167659CB8A429D&quot;,1)"/>
        <s v="=DISPIMG(&quot;ID_8429D172CBB44CD09D60C30BC90B8E16&quot;,1)"/>
        <s v="=DISPIMG(&quot;ID_533A787BF17F425786AD75B300870191&quot;,1)"/>
        <s v="=DISPIMG(&quot;ID_8D3A0270E39349D7B21765F96237444C&quot;,1)"/>
        <s v="=DISPIMG(&quot;ID_3B8C5F7C164B4138B0C497AE0C2DC83B&quot;,1)"/>
        <s v="=DISPIMG(&quot;ID_33AA978D46A94585AE94AB7624228B8C&quot;,1)"/>
        <s v="=DISPIMG(&quot;ID_931F43BDD97A47F99AECFC060A9E4587&quot;,1)"/>
        <s v="=DISPIMG(&quot;ID_87C0292682794C11A21989FD4FD46AED&quot;,1)"/>
        <s v="=DISPIMG(&quot;ID_DED01F5840B946339A2DDE5E55458F8A&quot;,1)"/>
        <s v="=DISPIMG(&quot;ID_B33A7687F7704C5499448C2CAE71B662&quot;,1)"/>
        <s v="=DISPIMG(&quot;ID_05375A5E4E9C49E4A1CDE28C2FE774BF&quot;,1)"/>
        <s v="=DISPIMG(&quot;ID_B302813B2E084B4B81D5AFC4B2935046&quot;,1)"/>
        <s v="=DISPIMG(&quot;ID_FE036DC3DBE8446E89F9AE23856C85B7&quot;,1)"/>
        <s v="=DISPIMG(&quot;ID_C8840AD02D834688A9935EF9067D7DA5&quot;,1)"/>
        <s v="=DISPIMG(&quot;ID_DF42A701E1904186B4FA8659D36DAD71&quot;,1)"/>
        <s v="=DISPIMG(&quot;ID_CFA954B8F94244DDBBC6DE2C1305AE79&quot;,1)"/>
        <s v="=DISPIMG(&quot;ID_61CA2011F8E84141965C13F24E9E547D&quot;,1)"/>
        <s v="=DISPIMG(&quot;ID_4ABCF94A410E48A3A5E6538865AB93BC&quot;,1)"/>
        <s v="=DISPIMG(&quot;ID_9C292CBEF14744E9B527460B57FFD103&quot;,1)"/>
        <s v="=DISPIMG(&quot;ID_EE910D74CB24412F90558A9A9969ECD2&quot;,1)"/>
        <s v="=DISPIMG(&quot;ID_2A8FB4FDFEF340B29B37553A7FE7EBB8&quot;,1)"/>
        <s v="=DISPIMG(&quot;ID_729D72CDBBDA402E8B481F91D2D7DE5F&quot;,1)"/>
        <s v="=DISPIMG(&quot;ID_C9B49A154F59493B8DEF93E73043454E&quot;,1)"/>
        <s v="=DISPIMG(&quot;ID_82B7108520B94F8EA7F7BD0FE01245FB&quot;,1)"/>
        <s v="=DISPIMG(&quot;ID_3E72D9F64665420DB07CDEC8B4C6D3F9&quot;,1)"/>
        <s v="=DISPIMG(&quot;ID_EE48F229BBCF4E6DAC1385DF3FF9A92B&quot;,1)"/>
        <s v="=DISPIMG(&quot;ID_3B1A5C30AC524987A95F04E926E83975&quot;,1)"/>
        <s v="=DISPIMG(&quot;ID_3F10E722F0754317A9B2E2DD639EA392&quot;,1)"/>
        <s v="=DISPIMG(&quot;ID_5A9A168908A141F48C0EF459D2C99673&quot;,1)"/>
        <s v="=DISPIMG(&quot;ID_3D238B1BD31A4A4183C1309919A7BA6F&quot;,1)"/>
        <s v="=DISPIMG(&quot;ID_198BAC0DEFD84425BD28B4725F10301B&quot;,1)"/>
        <s v="=DISPIMG(&quot;ID_BF70499EED154F749C24037334061B06&quot;,1)"/>
        <s v="=DISPIMG(&quot;ID_9E1B29661084495BB34F80BA24FEA5BF&quot;,1)"/>
        <s v="=DISPIMG(&quot;ID_5DEF28B6C292498CACA1290522B61387&quot;,1)"/>
        <s v="=DISPIMG(&quot;ID_55D9FE80A7BC4EE79B3FB3D076A76AFE&quot;,1)"/>
        <s v="=DISPIMG(&quot;ID_49224B03F1C843638F68492E061E47FB&quot;,1)"/>
        <s v="=DISPIMG(&quot;ID_32A200B235A14F23A3B145A7EC770D6F&quot;,1)"/>
        <s v="=DISPIMG(&quot;ID_A1183823BEA7426197BF09740A369234&quot;,1)"/>
        <s v="=DISPIMG(&quot;ID_741C3FAA62B44D25A58FC1858F57DD3B&quot;,1)"/>
        <s v="=DISPIMG(&quot;ID_E63BCA04705D48B9BC26F4251BB6A6C4&quot;,1)"/>
        <s v="=DISPIMG(&quot;ID_0BE8BE3BA2C049599E8E38905365B2FD&quot;,1)"/>
        <s v="=DISPIMG(&quot;ID_0278C5A006E1469A9EAB576517D60A84&quot;,1)"/>
        <s v="=DISPIMG(&quot;ID_1733FB502E704F0E89197407F8E997E5&quot;,1)"/>
        <s v="=DISPIMG(&quot;ID_C6B256BD696D4B178590A123608C46F1&quot;,1)"/>
        <s v="=DISPIMG(&quot;ID_FD2B405495884235842772C19B79643C&quot;,1)"/>
        <s v="=DISPIMG(&quot;ID_CF99643B22A94B08A5A65646CC6C62DD&quot;,1)"/>
        <s v="=DISPIMG(&quot;ID_9C18FD95AAC44D3AA7CCE5F507EE4EB0&quot;,1)"/>
        <s v="=DISPIMG(&quot;ID_0D07B78B4D1A4FBA9FFD430DD39D9F6A&quot;,1)"/>
        <s v="=DISPIMG(&quot;ID_6AA72AAE50EA43B599B2BC83811F1DD2&quot;,1)"/>
        <s v="=DISPIMG(&quot;ID_6CAFC5FAB8C24B2B9F02AAC17979EB6F&quot;,1)"/>
        <s v="=DISPIMG(&quot;ID_37C823B896C143B3A157B4D24F808EF7&quot;,1)"/>
        <s v="=DISPIMG(&quot;ID_2256112C7CCD4A33AC9C8E22E9978A68&quot;,1)"/>
        <s v="=DISPIMG(&quot;ID_C8DBCF50A81C44B4A1BE7A6E74BC8D29&quot;,1)"/>
        <s v="=DISPIMG(&quot;ID_A26DB3CB9ADE43B2A2C91DB5461D48A9&quot;,1)"/>
        <s v="=DISPIMG(&quot;ID_693FBC1B22064FBCB4562944340D4BEC&quot;,1)"/>
        <s v="=DISPIMG(&quot;ID_BC8D96A729D44F18895247BB61E03D49&quot;,1)"/>
        <s v="=DISPIMG(&quot;ID_9356E0A9D300435BB7E9F7CD2D7982E1&quot;,1)"/>
        <s v="=DISPIMG(&quot;ID_D53BF7DB6A514989BADEFBCACB176F92&quot;,1)"/>
        <s v="=DISPIMG(&quot;ID_4EDA6D5F92874F0AA98891463EB77E46&quot;,1)"/>
        <s v="=DISPIMG(&quot;ID_0F6BACA4A20C41E8AFDFD65F61F05A3F&quot;,1)"/>
        <s v="=DISPIMG(&quot;ID_3F3E9B19F35B42C29F5EE8ED3D3A841C&quot;,1)"/>
        <s v="=DISPIMG(&quot;ID_7D44FCFB4767424EA3D19E1F56E8DCB0&quot;,1)"/>
        <s v="=DISPIMG(&quot;ID_10AD186CD0F340B09A41D6C3A2C415B4&quot;,1)"/>
        <s v="=DISPIMG(&quot;ID_74A440A54F2C4968B38A1888B5A21D33&quot;,1)"/>
        <s v="=DISPIMG(&quot;ID_B953CA25EA7945E2938F5DB0DCD61516&quot;,1)"/>
        <s v="=DISPIMG(&quot;ID_126CCBF8FFE3494AAA6C3199F0D064A1&quot;,1)"/>
        <s v="=DISPIMG(&quot;ID_9D3F1846210042EAADA62A946527000A&quot;,1)"/>
        <s v="=DISPIMG(&quot;ID_8B9E21FF1F69480492E6419985AF612E&quot;,1)"/>
        <s v="=DISPIMG(&quot;ID_59E854E6D1B44F5080EA1368CD0AD8DC&quot;,1)"/>
        <s v="=DISPIMG(&quot;ID_A9384852FDE141DAA4D49A105CB0C934&quot;,1)"/>
        <s v="=DISPIMG(&quot;ID_99D56C9AB5154D47A42B1FBD347B45BF&quot;,1)"/>
        <s v="=DISPIMG(&quot;ID_D51BF14D4B104447BBC0EAC5245CABE3&quot;,1)"/>
        <s v="=DISPIMG(&quot;ID_07C7746364714B6DBFE655D0B8FACFC2&quot;,1)"/>
        <s v="=DISPIMG(&quot;ID_DF1A605BA4BE4CA5856E9A476DA6C104&quot;,1)"/>
        <s v="=DISPIMG(&quot;ID_A7DAD498AEEF4AD3A9F91679A0A67020&quot;,1)"/>
        <s v="=DISPIMG(&quot;ID_7772311B4D8F43DB8AAC0D0A4605054D&quot;,1)"/>
        <s v="=DISPIMG(&quot;ID_967D7408DCDF462C94CF11DF7721B63A&quot;,1)"/>
        <s v="=DISPIMG(&quot;ID_09056CBA4FF745018DB92D544281F8D4&quot;,1)"/>
        <s v="=DISPIMG(&quot;ID_35AF34A03A5940DDAB343BBA735238CE&quot;,1)"/>
        <s v="=DISPIMG(&quot;ID_1BD0426BCEE3451096AD2FFA2596B5E6&quot;,1)"/>
        <s v="=DISPIMG(&quot;ID_79A99D2539794A208DDA317DDC678FD1&quot;,1)"/>
        <s v="=DISPIMG(&quot;ID_154E00F6D83F4EB8A6DD34887B3B832D&quot;,1)"/>
        <s v="=DISPIMG(&quot;ID_81B05A7F67DF4F6B8799E22E6437B598&quot;,1)"/>
        <s v="=DISPIMG(&quot;ID_E2AAA48156A64249961376A6DEF7B357&quot;,1)"/>
        <s v="=DISPIMG(&quot;ID_41990C5303834291A1761C57F9059854&quot;,1)"/>
        <s v="=DISPIMG(&quot;ID_A4EA37C385B34C55A25D8361326F0F0C&quot;,1)"/>
        <s v="=DISPIMG(&quot;ID_2FF14FBDC12445AD9B687FC2D8B0856F&quot;,1)"/>
        <s v="=DISPIMG(&quot;ID_E45372E867B44107A92CDFC23602B8B4&quot;,1)"/>
        <s v="=DISPIMG(&quot;ID_8E6BEE541E02458EBA9AFA17D40D2F7A&quot;,1)"/>
        <s v="=DISPIMG(&quot;ID_173A25DA8B5D48669B8172C59A19F726&quot;,1)"/>
        <s v="=DISPIMG(&quot;ID_D31C2DDE48B04B96A4705024A7736291&quot;,1)"/>
        <s v="=DISPIMG(&quot;ID_934F66E19A174AFD86A65FAE077838EF&quot;,1)"/>
        <s v="=DISPIMG(&quot;ID_B505270C024C48B3A1245F0BDB75FFBD&quot;,1)"/>
        <s v="=DISPIMG(&quot;ID_1871CB487B85453480D27AEB0AA96744&quot;,1)"/>
        <s v="=DISPIMG(&quot;ID_EBDC3D96687448E4AC73291BBDFAA912&quot;,1)"/>
        <s v="=DISPIMG(&quot;ID_6C2C358E4A8345509BB328079381EC14&quot;,1)"/>
        <s v="=DISPIMG(&quot;ID_6CB84ABE2CD7413095FA9EF76DDA5CA1&quot;,1)"/>
        <s v="=DISPIMG(&quot;ID_871BBC838E3349C69FF4A9FD5D811899&quot;,1)"/>
        <s v="=DISPIMG(&quot;ID_701AD8830DE74A75AE575E29F90750E2&quot;,1)"/>
        <s v="=DISPIMG(&quot;ID_8FF085B5BB01416DAD5BC0D5EDB18031&quot;,1)"/>
        <s v="=DISPIMG(&quot;ID_95BA0B0D35AD40F88A04FDD373BD2934&quot;,1)"/>
        <s v="=DISPIMG(&quot;ID_CF48AA2CB8924A60ACB5E6BC4894623E&quot;,1)"/>
        <s v="=DISPIMG(&quot;ID_DF0C6072196D4BD88CB9F3E4038C081B&quot;,1)"/>
        <s v="=DISPIMG(&quot;ID_9E98820E9B3A4D66B6B44938F25D59A7&quot;,1)"/>
        <s v="=DISPIMG(&quot;ID_6A069F977681458BAEE02F9001321BD7&quot;,1)"/>
        <s v="=DISPIMG(&quot;ID_22C9F66D43DF4E6796F43DC9DD262D11&quot;,1)"/>
        <s v="=DISPIMG(&quot;ID_89F32F7D19D44E7C952FA01DD9648EEF&quot;,1)"/>
        <s v="=DISPIMG(&quot;ID_7763AFA6A80C46C9829DA75B323176FE&quot;,1)"/>
        <s v="=DISPIMG(&quot;ID_2C4787FFF4854031AB828DAD801D06C8&quot;,1)"/>
        <s v="=DISPIMG(&quot;ID_494E3CE7B8684E01A7D4F4FD541FAD02&quot;,1)"/>
        <s v="=DISPIMG(&quot;ID_EC37A561C56043939A4A3CFB6F345995&quot;,1)"/>
        <s v="=DISPIMG(&quot;ID_D5AD376B77F04718B283FB13B57E92F7&quot;,1)"/>
        <s v="=DISPIMG(&quot;ID_3097B60EE5E649F980D06C5BCCCD6D54&quot;,1)"/>
        <s v="=DISPIMG(&quot;ID_AAA5F803807C4C1DB597AC6127B62077&quot;,1)"/>
        <s v="=DISPIMG(&quot;ID_11A6568073A24CFCAA2558D0A4FFF9E0&quot;,1)"/>
        <s v="=DISPIMG(&quot;ID_EB54E46EC1EB41CD9675CDFDE542BFC9&quot;,1)"/>
        <s v="=DISPIMG(&quot;ID_6368B34DAD0B4411A2B213B2F90FACF4&quot;,1)"/>
        <s v="=DISPIMG(&quot;ID_4B92CBEC87C5465592975B29A20A5B8F&quot;,1)"/>
        <s v="=DISPIMG(&quot;ID_68EF0891021E4E6E8E381BE56F036E42&quot;,1)"/>
        <s v="=DISPIMG(&quot;ID_DEB2AC7F342C4CD98B5A32A17673B7AB&quot;,1)"/>
        <s v="=DISPIMG(&quot;ID_41412AC8D0DE4899A5C834953E426C18&quot;,1)"/>
        <s v="=DISPIMG(&quot;ID_EBD34901F3CB4B1FBCFD8A591338CB7D&quot;,1)"/>
        <s v="=DISPIMG(&quot;ID_AFC2F56739C842629AA4196BDAE22483&quot;,1)"/>
        <s v="=DISPIMG(&quot;ID_E0558F3B384749B1B8CA48C7ACC66C1F&quot;,1)"/>
        <s v="=DISPIMG(&quot;ID_552EB17D203F439389E0935589AB7633&quot;,1)"/>
        <s v="=DISPIMG(&quot;ID_1962A9C3B5EA47799BF5F54C22E111E9&quot;,1)"/>
        <s v="=DISPIMG(&quot;ID_4DB83E8BE32B4A8DAE2B9B88C6739779&quot;,1)"/>
        <s v="=DISPIMG(&quot;ID_D64ECE65E996413ABA17F5EEE5EE8441&quot;,1)"/>
        <s v="=DISPIMG(&quot;ID_0F67572A9839463E844747B057957DBE&quot;,1)"/>
        <s v="=DISPIMG(&quot;ID_C9B1BA849A7545889D100A46BD340947&quot;,1)"/>
        <s v="=DISPIMG(&quot;ID_C7E54599379F4DC886A062937CA244B6&quot;,1)"/>
        <s v="=DISPIMG(&quot;ID_15A25147F3024DC5B4A88342C77EBF4F&quot;,1)"/>
        <s v="=DISPIMG(&quot;ID_B1734808A73442C6B07BD819EEE5517D&quot;,1)"/>
        <s v="=DISPIMG(&quot;ID_B7117264ED66487F8A2DFCEC61E92DFD&quot;,1)"/>
        <s v="=DISPIMG(&quot;ID_60FE0ABB7FE044C1AE3B7026D85C867C&quot;,1)"/>
        <s v="=DISPIMG(&quot;ID_35C37D86C6544F879E11D76BD395A8B3&quot;,1)"/>
        <s v="=DISPIMG(&quot;ID_67984E6DD32747718802AE742C4233D4&quot;,1)"/>
        <s v="=DISPIMG(&quot;ID_E88297CC94A145C8B75CD6D8A74468F2&quot;,1)"/>
        <s v="=DISPIMG(&quot;ID_A2EB030384D2473A9C6B095E947A4CA7&quot;,1)"/>
        <s v="=DISPIMG(&quot;ID_9C3B14C2EAB3437BB0A7B26C4B3B88AA&quot;,1)"/>
        <s v="=DISPIMG(&quot;ID_4EAA875F4CC64360AFDDFA71059EA660&quot;,1)"/>
        <s v="=DISPIMG(&quot;ID_0C459A0554944E5A95C2588E89181494&quot;,1)"/>
        <s v="=DISPIMG(&quot;ID_DF36546F46664B29A939743E2C40A3C6&quot;,1)"/>
        <s v="=DISPIMG(&quot;ID_44979ADA3FD94003846739677AC424EC&quot;,1)"/>
        <s v="=DISPIMG(&quot;ID_37E971D76B764DE2810FB7823248EFE3&quot;,1)"/>
        <s v="=DISPIMG(&quot;ID_0E14FCDFB7CB42059031C925FBB4983E&quot;,1)"/>
        <s v="=DISPIMG(&quot;ID_8AE2E513E5F143D09C595A2C91FD48B8&quot;,1)"/>
        <s v="=DISPIMG(&quot;ID_89F49130D5324A66B6F237EBF558F7BB&quot;,1)"/>
        <s v="=DISPIMG(&quot;ID_B2E84D537BA8450EB85952B5D848020A&quot;,1)"/>
        <s v="=DISPIMG(&quot;ID_A8C13D83F34848318DCB286B8775679C&quot;,1)"/>
        <s v="=DISPIMG(&quot;ID_CF57384CD5FC43FF9E04D14BC599245F&quot;,1)"/>
        <s v="=DISPIMG(&quot;ID_597DDA74819A4622A593BC5D1E87B0CC&quot;,1)"/>
        <s v="=DISPIMG(&quot;ID_BC30864361FA47ACA2BF8183C7811340&quot;,1)"/>
        <s v="=DISPIMG(&quot;ID_8533B501A9A54FE9A4E35AEFB4275BEF&quot;,1)"/>
        <s v="=DISPIMG(&quot;ID_E1AC3826530D47C592E227C4D7FA27A2&quot;,1)"/>
        <s v="=DISPIMG(&quot;ID_094ADB2BC62B4C04A2CE84CAA4F45D04&quot;,1)"/>
        <s v="=DISPIMG(&quot;ID_9314EABAA923453284F15A5AF2A1CB22&quot;,1)"/>
        <m/>
        <s v="=DISPIMG(&quot;ID_90547C2F03A94B808554958C1B19C6EC&quot;,1)"/>
        <s v="=DISPIMG(&quot;ID_16ABF42AC26746BABFB03FB4B1B74934&quot;,1)"/>
        <s v="=DISPIMG(&quot;ID_F50CBFE0FFCE4B5087701E7D8873E815&quot;,1)"/>
        <s v="=DISPIMG(&quot;ID_900614D342324802B41DCDA2E5033D06&quot;,1)"/>
        <s v="=DISPIMG(&quot;ID_70BBE1DE1E6F4014BA526D694DB007EF&quot;,1)"/>
        <s v="=DISPIMG(&quot;ID_15C57A0EA1BD4972B8156C960E8B1FEA&quot;,1)"/>
        <s v="=DISPIMG(&quot;ID_ED7A6832899245BEB33291BDE4FA5899&quot;,1)"/>
        <s v="=DISPIMG(&quot;ID_0E63AA7EA9D64576A61C97E2DC76DFB4&quot;,1)"/>
        <s v="=DISPIMG(&quot;ID_E106C8DDF89A42F0AE2A212310381A88&quot;,1)"/>
        <s v="=DISPIMG(&quot;ID_832A8EC32D514EBB86F639591B9FDAC0&quot;,1)"/>
        <s v="=DISPIMG(&quot;ID_F7F10A4957FB4E6EB5C303B0F405CCBE&quot;,1)"/>
        <s v="=DISPIMG(&quot;ID_70A621A51B3F49F99C1B685ADACE5996&quot;,1)"/>
        <s v="=DISPIMG(&quot;ID_48072FCF11B74B0F8287E876C0DDE8A4&quot;,1)"/>
        <s v="=DISPIMG(&quot;ID_762511F333074F92938D330A8184A452&quot;,1)"/>
        <s v="=DISPIMG(&quot;ID_2B8EA81D3AC5435B894CDBDE5CBA25C2&quot;,1)"/>
        <s v="=DISPIMG(&quot;ID_2DBA785C14BF42278D3E6E6FA089C673&quot;,1)"/>
        <s v="=DISPIMG(&quot;ID_69C9999DE40B466FA474432CEE30BFD5&quot;,1)"/>
        <s v="=DISPIMG(&quot;ID_86143A248CAF4910A6B7B8015631602D&quot;,1)"/>
        <s v="=DISPIMG(&quot;ID_A5DBF622754C47C6B30323BA7298B564&quot;,1)"/>
        <s v="=DISPIMG(&quot;ID_E211ADECFDE242F196CF8279C14FCD92&quot;,1)"/>
        <s v="=DISPIMG(&quot;ID_5EFECB52BD6E433EBC83E673BFF24203&quot;,1)"/>
        <s v="=DISPIMG(&quot;ID_3ECF122E503E4D37B553486985397164&quot;,1)"/>
        <s v="=DISPIMG(&quot;ID_8D0CED9005364BCE9A41FFBFD9545F0A&quot;,1)"/>
        <s v="=DISPIMG(&quot;ID_569446716C2442B68DCC6545C7FF5E4A&quot;,1)"/>
        <s v="=DISPIMG(&quot;ID_E98CF91228BE44629282F90FD1846115&quot;,1)"/>
        <s v="=DISPIMG(&quot;ID_F721F894988F4A06B5179435DB2EEF1C&quot;,1)"/>
        <s v="=DISPIMG(&quot;ID_6A3B989CE08F482B9C5F4AE4CD6F661A&quot;,1)"/>
        <s v="=DISPIMG(&quot;ID_7C55CFC384AE456AB3B178E5C86BAF6F&quot;,1)"/>
        <s v="=DISPIMG(&quot;ID_8344D0D664D749B393AA81250C9EDB62&quot;,1)"/>
        <s v="=DISPIMG(&quot;ID_2D3FCCEBF9C44A9BBCF02D085CB2D8CA&quot;,1)"/>
        <s v="=DISPIMG(&quot;ID_4520A0C7A81E498780F285227457D93D&quot;,1)"/>
        <s v="=DISPIMG(&quot;ID_C21D50B11E864A47993BFC310C412CD7&quot;,1)"/>
        <s v="=DISPIMG(&quot;ID_DCA744B4CF0340EA9ED4969EEADE1663&quot;,1)"/>
        <s v="=DISPIMG(&quot;ID_77AAFD15688E4ABFA28EBFD7C06F47F2&quot;,1)"/>
        <s v="=DISPIMG(&quot;ID_6853B1DAB68044EF84E6021ED15378F8&quot;,1)"/>
        <s v="=DISPIMG(&quot;ID_FBA1C5369C6647DB9EE002449091A007&quot;,1)"/>
        <s v="=DISPIMG(&quot;ID_903441E3BB2B41E0B780A07E1B0D375D&quot;,1)"/>
        <s v="=DISPIMG(&quot;ID_05DC8925AD604A3481B732D23BBD230B&quot;,1)"/>
        <s v="=DISPIMG(&quot;ID_B3DEBDD255A84009AC5D7EE76B69CBCC&quot;,1)"/>
        <s v="=DISPIMG(&quot;ID_3C767EA5A3684EA1B94FBB4426259175&quot;,1)"/>
        <s v="=DISPIMG(&quot;ID_EFBACBE8A3C14387881EF8AF5AD1D7DE&quot;,1)"/>
        <s v="=DISPIMG(&quot;ID_EAFC67BD0BD046318B73FD2F59351812&quot;,1)"/>
        <s v="=DISPIMG(&quot;ID_0BECF78B65F3428F8B55A46135B882BB&quot;,1)"/>
        <s v="=DISPIMG(&quot;ID_1204F5D716E24057BD1E6F8A7C9B8EF4&quot;,1)"/>
        <s v="=DISPIMG(&quot;ID_68DA29414575408B8372D2E2F1B7D38C&quot;,1)"/>
        <s v="=DISPIMG(&quot;ID_B3623291992A4183A71353F373FCE034&quot;,1)"/>
        <s v="=DISPIMG(&quot;ID_D70E123D2F194F5A838DABF12E60C709&quot;,1)"/>
        <s v="=DISPIMG(&quot;ID_09A92A307A644BB1B5EBD66F0C09C938&quot;,1)"/>
        <s v="=DISPIMG(&quot;ID_D2C578F00B7049F587A53BFDB7E68EC7&quot;,1)"/>
        <s v="=DISPIMG(&quot;ID_0C82D430716C4AD38C526DE452CD68C6&quot;,1)"/>
        <s v="=DISPIMG(&quot;ID_3FDBB7357CFD4431BDF064AB5AA7396A&quot;,1)"/>
        <s v="=DISPIMG(&quot;ID_F0A292B7AE124D5AB4420D559CEA9650&quot;,1)"/>
        <s v="=DISPIMG(&quot;ID_A51CF728D88540889E116768946BD3C7&quot;,1)"/>
        <s v="=DISPIMG(&quot;ID_E3ABC4421BC84F5883BC96E885657C3E&quot;,1)"/>
        <s v="=DISPIMG(&quot;ID_B15FD7CA5EC94FD8B260B69F14837FCE&quot;,1)"/>
        <s v="=DISPIMG(&quot;ID_7614333D9BEB496CA067FB9161FA45B4&quot;,1)"/>
        <s v="=DISPIMG(&quot;ID_3A4CFC37B5484566A7C8E86F2E9879E3&quot;,1)"/>
        <s v="=DISPIMG(&quot;ID_90F0745BF8154E2481040265E4E21BEA&quot;,1)"/>
        <s v="=DISPIMG(&quot;ID_FA2DFE0131FA4B2F9BCE5D443A766548&quot;,1)"/>
        <s v="=DISPIMG(&quot;ID_95E7A50E63074374A543DA35965895A2&quot;,1)"/>
        <s v="=DISPIMG(&quot;ID_08DCD77AC9774471AD78E3DB349B7DD4&quot;,1)"/>
        <s v="=DISPIMG(&quot;ID_EED160D0EAC74E5186B66E3A9DF609F0&quot;,1)"/>
        <s v="=DISPIMG(&quot;ID_C871DA86EACC450A9EB8A1A1073DD334&quot;,1)"/>
        <s v="=DISPIMG(&quot;ID_F3EA02F7C94846EABB8F6D2B90DFBDB3&quot;,1)"/>
        <s v="=DISPIMG(&quot;ID_8DFB1018C2CF46C781920D75CC7B7569&quot;,1)"/>
        <s v="=DISPIMG(&quot;ID_F7BF24451D6845A6947A705B64265461&quot;,1)"/>
        <s v="=DISPIMG(&quot;ID_9C08EAEB7C3E4577BFA95E9CB65FC9A2&quot;,1)"/>
        <s v="=DISPIMG(&quot;ID_70D6DE887B23472798035BA34D6E8432&quot;,1)"/>
        <s v="=DISPIMG(&quot;ID_C836203ABC5548DFBB82101C564ABDE4&quot;,1)"/>
        <s v="=DISPIMG(&quot;ID_044C92CE91A2458AB9E433E7C778F5B1&quot;,1)"/>
        <s v="=DISPIMG(&quot;ID_359B038F9B094CCBBE67D9477C0FDE46&quot;,1)"/>
        <s v="=DISPIMG(&quot;ID_31B3C9293E7A4199B9CC2183981FA36A&quot;,1)"/>
        <s v="=DISPIMG(&quot;ID_EE7855B4E45C4FEEA6E62DAD26E6A602&quot;,1)"/>
        <s v="=DISPIMG(&quot;ID_E8FB4C99EEEB4CABAF30C748C514CCEA&quot;,1)"/>
        <s v="=DISPIMG(&quot;ID_0FA668D2B210412AB266BA919CB87C85&quot;,1)"/>
        <s v="=DISPIMG(&quot;ID_286F0CE054954B8CB60053B86BA89BE3&quot;,1)"/>
        <s v="=DISPIMG(&quot;ID_C474A753AB4A4892847C69EFAA7CDDC2&quot;,1)"/>
        <s v="=DISPIMG(&quot;ID_4291EEB83F274638BDAA71EB8516996A&quot;,1)"/>
        <s v="=DISPIMG(&quot;ID_9798770D4DD443E8896DBE2A398F562A&quot;,1)"/>
        <s v="=DISPIMG(&quot;ID_7D11F6B4549942C9B50B06098C038684&quot;,1)"/>
        <s v="=DISPIMG(&quot;ID_DE6644958BC7409B82F8C91C92F690E7&quot;,1)"/>
        <s v="=DISPIMG(&quot;ID_18D99A7D8F2D4815A3834B78E08B9560&quot;,1)"/>
        <s v="=DISPIMG(&quot;ID_301AB8CD7A55458992AA55F9EEE5FEA6&quot;,1)"/>
        <s v="=DISPIMG(&quot;ID_45680A72FF7A45C49676883945257C22&quot;,1)"/>
        <s v="=DISPIMG(&quot;ID_87C524CA6B7A4D0A9E184F6E5472B0DE&quot;,1)"/>
        <s v="=DISPIMG(&quot;ID_DB0E95ABF8134A879A06A45E2D059129&quot;,1)"/>
        <s v="=DISPIMG(&quot;ID_01578E3401F94B50A4792860C0D14A6B&quot;,1)"/>
        <s v="=DISPIMG(&quot;ID_A6DBD2872B2D4875BA03452D1B444AF4&quot;,1)"/>
        <s v="=DISPIMG(&quot;ID_7DD79234444F4A3A852A49E078C6E3EB&quot;,1)"/>
        <s v="=DISPIMG(&quot;ID_E50426AA81C94055B426674E4E881548&quot;,1)"/>
        <s v="=DISPIMG(&quot;ID_E7C7E23C14E8494C948CC8D8E1441A0A&quot;,1)"/>
        <s v="=DISPIMG(&quot;ID_27334F8A1C724D6CBEBAA8A191E865BF&quot;,1)"/>
        <s v="=DISPIMG(&quot;ID_D5D93943FE104675900AE2CD04DDE743&quot;,1)"/>
        <s v="=DISPIMG(&quot;ID_A3E2344DCB5C404B8A937CA8B1013644&quot;,1)"/>
        <s v="=DISPIMG(&quot;ID_555493D910334092921CCAE36A4BF144&quot;,1)"/>
        <s v="=DISPIMG(&quot;ID_3C4BDEC36EAB4B6A8851ACE18EF684C9&quot;,1)"/>
        <s v="=DISPIMG(&quot;ID_0C8721405F42406D95631DE44B93757E&quot;,1)"/>
        <s v="=DISPIMG(&quot;ID_6FD88D87E17546409C34CE287829ABE8&quot;,1)"/>
        <s v="=DISPIMG(&quot;ID_12657F5938CC49BB860EBA24AC3ABE63&quot;,1)"/>
        <s v="=DISPIMG(&quot;ID_53840AEC66BB46D3B3883F9627A15FF1&quot;,1)"/>
        <s v="=DISPIMG(&quot;ID_CCB13DDA724546D0BCFC2960E3A232B1&quot;,1)"/>
        <s v="=DISPIMG(&quot;ID_BF0AE65BD89445D49661FF7EEEEF538B&quot;,1)"/>
        <s v="=DISPIMG(&quot;ID_D307B9AA4338436391DAA0BCA358F837&quot;,1)"/>
        <s v="=DISPIMG(&quot;ID_CB61CAE3E5E940E9BEB46E78B67DBA4D&quot;,1)"/>
        <s v="=DISPIMG(&quot;ID_E6F79CCA2FE74592BFA6A7985D4DEE1F&quot;,1)"/>
        <s v="=DISPIMG(&quot;ID_5489876DC22346D69856C859F6E05D0A&quot;,1)"/>
        <s v="=DISPIMG(&quot;ID_382C6AC2AAC9405EB4785320738CD522&quot;,1)"/>
        <s v="=DISPIMG(&quot;ID_A42E8980763F477D9662F327CD023BE8&quot;,1)"/>
        <s v="=DISPIMG(&quot;ID_9841F41687B345D585AF404D7987A45D&quot;,1)"/>
        <s v="=DISPIMG(&quot;ID_686D950F17FA49BBA8EA51E0A47C9738&quot;,1)"/>
        <s v="=DISPIMG(&quot;ID_833967922042443A93CB6D5EEFE2EF93&quot;,1)"/>
        <s v="=DISPIMG(&quot;ID_E73A2DE429844369BE143CA3BDF486B4&quot;,1)"/>
        <s v="=DISPIMG(&quot;ID_6692746DB4CD44CD91B9D673145B8BDB&quot;,1)"/>
        <s v="=DISPIMG(&quot;ID_5025D29BB4BB48CD96AFD904ECBF54FC&quot;,1)"/>
        <s v="=DISPIMG(&quot;ID_3A67C588F7BE4829A240B392B771CD79&quot;,1)"/>
        <s v="=DISPIMG(&quot;ID_F2487AE7E1044029864CAD0A94C67193&quot;,1)"/>
        <s v="=DISPIMG(&quot;ID_5FFB0D6236A84E33914A6F40002C4920&quot;,1)"/>
        <s v="=DISPIMG(&quot;ID_0ABB1774C748449A83E3F54F21B2414F&quot;,1)"/>
        <s v="=DISPIMG(&quot;ID_C26B7E22F9754EF0AC199F8335FAD93F&quot;,1)"/>
        <s v="=DISPIMG(&quot;ID_0E7FC86CA3274AF29D39010F2D44CA52&quot;,1)"/>
        <s v="=DISPIMG(&quot;ID_D4D15150C8AB473B81EB87D51B1E5EAE&quot;,1)"/>
        <s v="=DISPIMG(&quot;ID_3DE273995FBE4DC38A04522FB9710A70&quot;,1)"/>
        <s v="=DISPIMG(&quot;ID_5606C9D7B9554D7B901E8DA987E33454&quot;,1)"/>
        <s v="=DISPIMG(&quot;ID_622443CE007D4FBF83E5B1857069D709&quot;,1)"/>
        <s v="=DISPIMG(&quot;ID_EFE120A02F8D48D094B3E5E16B5D8416&quot;,1)"/>
        <s v="=DISPIMG(&quot;ID_E9107DEA1AA043E0B654211470A600D5&quot;,1)"/>
        <s v="=DISPIMG(&quot;ID_5CF98BE9B3D74C2582E35D629C7B6637&quot;,1)"/>
        <s v="=DISPIMG(&quot;ID_558FB919B8ED4ACA8D66BFAD838A3B62&quot;,1)"/>
        <s v="=DISPIMG(&quot;ID_AD9A13D1FD0243ECB0B00BBF0271A15F&quot;,1)"/>
        <s v="=DISPIMG(&quot;ID_5974207AC9464A0690F08A1FF04715DE&quot;,1)"/>
        <s v="=DISPIMG(&quot;ID_1F4A0246E34C4CEB9F4B34708AEBD3AD&quot;,1)"/>
        <s v="=DISPIMG(&quot;ID_A7278565D0F545F6BB85131CAB4DAE4B&quot;,1)"/>
        <s v="=DISPIMG(&quot;ID_8944104E2F9A40158174869252BC1EA5&quot;,1)"/>
        <s v="=DISPIMG(&quot;ID_EC1C5A5D3C2C4BEC9349636DD7FC6D32&quot;,1)"/>
        <s v="=DISPIMG(&quot;ID_438364F4CE584ECE9551F0E5F607022F&quot;,1)"/>
        <s v="=DISPIMG(&quot;ID_4416AA22905341889086A3C4436BA489&quot;,1)"/>
        <s v="=DISPIMG(&quot;ID_840804FD8417442AA807E409F0261339&quot;,1)"/>
        <s v="=DISPIMG(&quot;ID_AB1FF93CCA054218B265934B8CC84B12&quot;,1)"/>
        <s v="=DISPIMG(&quot;ID_539370982E464EDF8D920818B14312EB&quot;,1)"/>
        <s v="=DISPIMG(&quot;ID_8F170EE5C04F45988B5372CE9084E074&quot;,1)"/>
        <s v="=DISPIMG(&quot;ID_26F19AE6623D49CA8F895A83935CBAC0&quot;,1)"/>
        <s v="=DISPIMG(&quot;ID_21E067FA6E714924A124C1BDE78B0E15&quot;,1)"/>
        <s v="=DISPIMG(&quot;ID_3363023DB11B4678A8960E994F6113A5&quot;,1)"/>
        <s v="=DISPIMG(&quot;ID_EA87E085DECB4E64AB4DFCB9A7CFB47C&quot;,1)"/>
        <s v="=DISPIMG(&quot;ID_222160BD1F4146AE84253B4971AFD238&quot;,1)"/>
        <s v="=DISPIMG(&quot;ID_B69E795A1EEE4F6CA5DA7F8CA8DB2322&quot;,1)"/>
        <s v="=DISPIMG(&quot;ID_CB7DF7E9FD5F4B51A1D28441FB2D6928&quot;,1)"/>
        <s v="=DISPIMG(&quot;ID_126165A2EDF94E33AEEBD5A8B6681F13&quot;,1)"/>
        <s v="=DISPIMG(&quot;ID_78374C688CC0461FBE0404F00AEFE3D4&quot;,1)"/>
        <s v="=DISPIMG(&quot;ID_000C218D0F9443518ECF7354AF5D13E1&quot;,1)"/>
        <s v="=DISPIMG(&quot;ID_9CC0F4FB96E44DB8AA2BC571BF7043B7&quot;,1)"/>
        <s v="=DISPIMG(&quot;ID_73BBDAEB3C074F218D95C164AF03E6ED&quot;,1)"/>
        <s v="=DISPIMG(&quot;ID_D8DA9D7EAB264DFCBF7B8070429D262E&quot;,1)"/>
        <s v="=DISPIMG(&quot;ID_CA95727CF4EE4378BECC0F82C76D50CD&quot;,1)"/>
        <s v="=DISPIMG(&quot;ID_929BBDFD293E4B37A0666D09EE9CCA9B&quot;,1)"/>
        <s v="=DISPIMG(&quot;ID_A3C3DE5E29FE4874889A6AD3E9660112&quot;,1)"/>
        <s v="=DISPIMG(&quot;ID_8E6802F0C54B449CB1ED3BFC168C5B53&quot;,1)"/>
        <s v="=DISPIMG(&quot;ID_A0B7AF082FBE4B9F895533A34E9F9E61&quot;,1)"/>
        <s v="=DISPIMG(&quot;ID_4D24A485F0D54207856C072F71B0A983&quot;,1)"/>
        <s v="=DISPIMG(&quot;ID_FF5EFE52495F445B8915D04C950D5204&quot;,1)"/>
        <s v="=DISPIMG(&quot;ID_4B516D2383344349BBF1C65CBEC62FD0&quot;,1)"/>
        <s v="=DISPIMG(&quot;ID_0674C4EAA2804CCAA5F663D3FDE4FEDA&quot;,1)"/>
        <s v="=DISPIMG(&quot;ID_161BAD498E7A43708040D13C75264D0A&quot;,1)"/>
        <s v="=DISPIMG(&quot;ID_245355B7944A4CB1A403A93C1970B492&quot;,1)"/>
        <s v="=DISPIMG(&quot;ID_098691DFCD194251ACFCB2C6938D4CB5&quot;,1)"/>
        <s v="=DISPIMG(&quot;ID_0EB4696362D34715826ECE85FE50EB3D&quot;,1)"/>
        <s v="=DISPIMG(&quot;ID_120F64AFC195483A84F95A3D6C0A0B12&quot;,1)"/>
        <s v="=DISPIMG(&quot;ID_FE87B49A0CF549E98B5A0C3F3FB3F002&quot;,1)"/>
        <s v="=DISPIMG(&quot;ID_D9C2E2C7207941C5A832F3F3FCCB3FEC&quot;,1)"/>
        <s v="=DISPIMG(&quot;ID_3B8A645A47BB4CF687C0A3071D349BDC&quot;,1)"/>
        <s v="=DISPIMG(&quot;ID_8DBE50B684314D1091FB270295895E10&quot;,1)"/>
        <s v="=DISPIMG(&quot;ID_12819D8FC37E4883AFBC4A688181301E&quot;,1)"/>
        <s v="=DISPIMG(&quot;ID_DD3A0E363FF444DB907F1A1F3BD6623B&quot;,1)"/>
        <s v="=DISPIMG(&quot;ID_119B87AFFAEC4ED69D95A401C1D7AF95&quot;,1)"/>
        <s v="=DISPIMG(&quot;ID_DC38B7F39E8B4016B9D6F0EAD20B4ED3&quot;,1)"/>
        <s v="=DISPIMG(&quot;ID_FB09B91DDAD24305B94BB434E2D69BBF&quot;,1)"/>
        <s v="=DISPIMG(&quot;ID_C652B0084C494466A4E99BEDB0FA6196&quot;,1)"/>
        <s v="=DISPIMG(&quot;ID_9115963E70724349A68C7AA2F93955FA&quot;,1)"/>
        <s v="=DISPIMG(&quot;ID_6FE5DAD2A0B34ECC825E6832174C8DDE&quot;,1)"/>
        <s v="=DISPIMG(&quot;ID_47DAA0DA13E744F4954655AB97BF49ED&quot;,1)"/>
        <s v="=DISPIMG(&quot;ID_8DED88E2C389495CB9E075AC97C0C5F4&quot;,1)"/>
        <s v="=DISPIMG(&quot;ID_9F4B23C50E7F464BA9C871554A314B59&quot;,1)"/>
        <s v="=DISPIMG(&quot;ID_BF4C59737B9141F8B684BA139BD2C661&quot;,1)"/>
        <s v="=DISPIMG(&quot;ID_7ABC0589D3894689B71CFC317DC6BE42&quot;,1)"/>
        <s v="=DISPIMG(&quot;ID_CF05D139C25C46789C0EB79FA4B79F10&quot;,1)"/>
        <s v="=DISPIMG(&quot;ID_0A02CBE5649949C4BFF75ACF9540D883&quot;,1)"/>
        <s v="=DISPIMG(&quot;ID_189B30B6B63341578A4E5472B164F285&quot;,1)"/>
        <s v="=DISPIMG(&quot;ID_AAAC1168155A42F6AFFBE61F63340122&quot;,1)"/>
        <s v="=DISPIMG(&quot;ID_A42EE19D77DA4BB59B8E6BD6A06929AD&quot;,1)"/>
        <s v="=DISPIMG(&quot;ID_C7ED486BD9F046188FFCE7D46DA5DF87&quot;,1)"/>
        <s v="=DISPIMG(&quot;ID_F0828506111249CCB0CD829B1B46084A&quot;,1)"/>
        <s v="=DISPIMG(&quot;ID_A3C26DEC3A904F5C9CF7CF188B64B0E8&quot;,1)"/>
        <s v="=DISPIMG(&quot;ID_0BFECE4DBF5B41039C52166AB7163942&quot;,1)"/>
        <s v="=DISPIMG(&quot;ID_AB785ABB89824C7C9A36B9618D044D45&quot;,1)"/>
        <s v="=DISPIMG(&quot;ID_49B31186CD724A56874BF24A471E9DA6&quot;,1)"/>
        <s v="=DISPIMG(&quot;ID_5DBD63D467C74A0B8FFD6ACC1FD536D5&quot;,1)"/>
        <s v="=DISPIMG(&quot;ID_DB7697E3F3AB468382205F318753BA95&quot;,1)"/>
        <s v="=DISPIMG(&quot;ID_9B337B43E92C489E992D4F4F605691DC&quot;,1)"/>
        <s v="=DISPIMG(&quot;ID_EC13D679BF584CE5945E363C70872D10&quot;,1)"/>
        <s v="=DISPIMG(&quot;ID_17100C77EFA742BDAFAD4F81131D0B81&quot;,1)"/>
        <s v="=DISPIMG(&quot;ID_CA0CE88402654B47836C3EFAF5B1E2D1&quot;,1)"/>
        <s v="=DISPIMG(&quot;ID_709DCE54755948F6AD959E237BF958FA&quot;,1)"/>
        <s v="=DISPIMG(&quot;ID_7009B871F9E94FF9A7691CF72D9A0D06&quot;,1)"/>
        <s v="=DISPIMG(&quot;ID_0E6C2842AB224AF485229FB76C7AAB07&quot;,1)"/>
        <s v="=DISPIMG(&quot;ID_0DDA4478B7E64B379F7B5F1AFDFAD1EC&quot;,1)"/>
        <s v="=DISPIMG(&quot;ID_F46912796035452C8CFA13B02B2C6180&quot;,1)"/>
        <s v="=DISPIMG(&quot;ID_C26C725FD3B6473ABADE3213CC66D898&quot;,1)"/>
        <s v="=DISPIMG(&quot;ID_38485F33B0254B46A086E17C20CC70FA&quot;,1)"/>
        <s v="=DISPIMG(&quot;ID_7ECCCFF3EDA247D3B4EB527E1E8F8EC4&quot;,1)"/>
        <s v="=DISPIMG(&quot;ID_DD18A3F5230D4DC5A4A488B1A45E5BF6&quot;,1)"/>
        <s v="=DISPIMG(&quot;ID_C9C7D4E130F84617A0CAA2D287347672&quot;,1)"/>
        <s v="=DISPIMG(&quot;ID_65EC1BA98E8449E19D43D0444E124B5C&quot;,1)"/>
        <s v="=DISPIMG(&quot;ID_A16F16ACAEF8453E9444C8AB8175499A&quot;,1)"/>
        <s v="=DISPIMG(&quot;ID_E12A07140227438BB4E824E820E9BF22&quot;,1)"/>
        <s v="=DISPIMG(&quot;ID_4CAEED81B0DF434285D9B648D9E61F16&quot;,1)"/>
        <s v="=DISPIMG(&quot;ID_CDB984416D924B3ABF9E13AC7B7620F9&quot;,1)"/>
        <s v="=DISPIMG(&quot;ID_3E487A5EBC044168B8301D165146EA73&quot;,1)"/>
        <s v="=DISPIMG(&quot;ID_13598FAC226D4D768F7CA10DFAA89C0D&quot;,1)"/>
        <s v="=DISPIMG(&quot;ID_DA74F82EE4F24115B82E58A8F1FFDBC7&quot;,1)"/>
        <s v="=DISPIMG(&quot;ID_1F095DE9CA5742EE93E4DD8CA3729B9D&quot;,1)"/>
        <s v="=DISPIMG(&quot;ID_8AEE08ABB31A493DA639BAB20818B0F6&quot;,1)"/>
        <s v="=DISPIMG(&quot;ID_0E200EFF174B42539DDC901FA53F14BC&quot;,1)"/>
        <s v="=DISPIMG(&quot;ID_773A2F8F33AB45DBB00184133126E562&quot;,1)"/>
        <s v="=DISPIMG(&quot;ID_F602AE897368440391FB0A0CEB433D02&quot;,1)"/>
        <s v="=DISPIMG(&quot;ID_D9E16AA58B5247D9B23BE19D7759B3F0&quot;,1)"/>
        <s v="=DISPIMG(&quot;ID_E815A0C0D972494D89981B168EC8EFE0&quot;,1)"/>
        <s v="=DISPIMG(&quot;ID_FACEF8D4592A40F2ABA6B3FE59FB0773&quot;,1)"/>
        <s v="=DISPIMG(&quot;ID_8CBA8351475843EBAC22D73396432F4C&quot;,1)"/>
        <s v="=DISPIMG(&quot;ID_F84E2AE9BAA0482490485707EB456DC9&quot;,1)"/>
        <s v="=DISPIMG(&quot;ID_A518498BBB82493FB03FC2427B2ADAA1&quot;,1)"/>
        <s v="=DISPIMG(&quot;ID_4D6794EF87B741C3BD1FA19E8E128DFC&quot;,1)"/>
        <s v="=DISPIMG(&quot;ID_1FCA252A06374AD5997CF5BEF0585AE7&quot;,1)"/>
        <s v="=DISPIMG(&quot;ID_13181B4DEDDF433780491EFC1F987EB4&quot;,1)"/>
        <s v="=DISPIMG(&quot;ID_A52838B84B5C47A4BF3757D05393391B&quot;,1)"/>
        <s v="=DISPIMG(&quot;ID_048DE7AB1E6943758F2A3FBCD03B5072&quot;,1)"/>
        <s v="=DISPIMG(&quot;ID_9CF6AFC5B15E4FF48C1BC2D6D4D3267B&quot;,1)"/>
        <s v="=DISPIMG(&quot;ID_DCE527BBF9C845C494F7D6015C9355D0&quot;,1)"/>
        <s v="=DISPIMG(&quot;ID_B3291A1BE49142A29B34E791E0557DD0&quot;,1)"/>
        <s v="=DISPIMG(&quot;ID_9998E363CBEE40489E5037F7C55A4463&quot;,1)"/>
        <s v="=DISPIMG(&quot;ID_A88B56D8027B4EF9985C4F118529EAC1&quot;,1)"/>
        <s v="=DISPIMG(&quot;ID_00AF396A1BA64B019C95286898ED1D58&quot;,1)"/>
        <s v="=DISPIMG(&quot;ID_5B38FB7B1E684A0DBB8BF9C775665973&quot;,1)"/>
        <s v="=DISPIMG(&quot;ID_252AE4A5166645A2A48B347B804B740A&quot;,1)"/>
        <s v="=DISPIMG(&quot;ID_80C27FFF9C844F83A39D1953CAC7DE51&quot;,1)"/>
        <s v="=DISPIMG(&quot;ID_CD0ADE249E1C4CD384179940BE5D624B&quot;,1)"/>
        <s v="=DISPIMG(&quot;ID_BA5A4D438F6346109153C23B82512711&quot;,1)"/>
        <s v="=DISPIMG(&quot;ID_1526F0A8E5E047BDAF9F74A823F57909&quot;,1)"/>
        <s v="=DISPIMG(&quot;ID_6B9F5869EFD644AFBA86969791C4A23B&quot;,1)"/>
        <s v="=DISPIMG(&quot;ID_44F7DAB5AD9C45F481B3D399E8DA4531&quot;,1)"/>
        <s v="=DISPIMG(&quot;ID_188E24E566EF4EACAE337781BCA42CD2&quot;,1)"/>
        <s v="=DISPIMG(&quot;ID_3A67B77964B44C6690F938188784ABCE&quot;,1)"/>
        <s v="=DISPIMG(&quot;ID_EBD2B8BE0C294BD28938D282BE3ADB21&quot;,1)"/>
        <s v="=DISPIMG(&quot;ID_3262A5375E9F43D3B8353163AF7AB5E2&quot;,1)"/>
        <s v="=DISPIMG(&quot;ID_D601605144F54C92AE0B99DC6D3BD96E&quot;,1)"/>
        <s v="=DISPIMG(&quot;ID_EC962150BADB4485B77768E82440F570&quot;,1)"/>
        <s v="=DISPIMG(&quot;ID_85C9D0C9C2264993ADDE06AF1C482DDD&quot;,1)"/>
        <s v="=DISPIMG(&quot;ID_1CE06669B67049999B7CF99351A9885D&quot;,1)"/>
        <s v="=DISPIMG(&quot;ID_94919368B71B449188E81FEC1CB61B2B&quot;,1)"/>
        <s v="=DISPIMG(&quot;ID_27E810F343444CB3B797CC6EE2F04820&quot;,1)"/>
        <s v="=DISPIMG(&quot;ID_CF5B4D5E302F417CAB2E6AC5C361A57D&quot;,1)"/>
        <s v="=DISPIMG(&quot;ID_EE985BC2F1C14101B6BBAB81B181E89E&quot;,1)"/>
        <s v="=DISPIMG(&quot;ID_03632E0447E2476589947031BE2653AF&quot;,1)"/>
        <s v="=DISPIMG(&quot;ID_18225101A3824602887A22F45C61FA2E&quot;,1)"/>
        <s v="=DISPIMG(&quot;ID_26067434132142409D4EC6DD8B238AD0&quot;,1)"/>
        <s v="=DISPIMG(&quot;ID_B4A7503CE39D4B4FB8505BC0968C5D36&quot;,1)"/>
        <s v="=DISPIMG(&quot;ID_6E5DCE5F52A04B708742B9B8AE6975C1&quot;,1)"/>
        <s v="=DISPIMG(&quot;ID_9CA0E75571224832AFC431B974E08035&quot;,1)"/>
        <s v="=DISPIMG(&quot;ID_6C746744CE8F43EF8C32A3F9DF30EA8C&quot;,1)"/>
        <s v="=DISPIMG(&quot;ID_BCB66B7942144A43906C84E727967752&quot;,1)"/>
        <s v="=DISPIMG(&quot;ID_04861F8516714EDBB70A7B5E34BCF2BC&quot;,1)"/>
        <s v="=DISPIMG(&quot;ID_EC83607E881546A19D6F72EA6FB67DD8&quot;,1)"/>
        <s v="=DISPIMG(&quot;ID_BC157D482AC947ACA7773FE3F6F5878E&quot;,1)"/>
        <s v="=DISPIMG(&quot;ID_7E12BFDC26344E7EA5E67D3C39AC7668&quot;,1)"/>
        <s v="=DISPIMG(&quot;ID_608EA4BCD54E414AA34F08C29B31D094&quot;,1)"/>
        <s v="=DISPIMG(&quot;ID_BF21C3DD5A244EE3A83BC1BD1FC3C413&quot;,1)"/>
        <s v="=DISPIMG(&quot;ID_BD72F22CF43445C0AB09665342B613ED&quot;,1)"/>
        <s v="=DISPIMG(&quot;ID_08148E414B5B44C5ABB9908CF05E7FBE&quot;,1)"/>
        <s v="=DISPIMG(&quot;ID_667F0D99EF4648398943BF133725E131&quot;,1)"/>
        <s v="=DISPIMG(&quot;ID_B3C62EC811D648E7B638AC61D7B6F9F9&quot;,1)"/>
        <s v="=DISPIMG(&quot;ID_96CAA9E1B26E4D6182E5BFE6AD5C1702&quot;,1)"/>
        <s v="=DISPIMG(&quot;ID_1086C68CDD0048F3BDC98A2487F74956&quot;,1)"/>
        <s v="=DISPIMG(&quot;ID_F4DF4F4D7FA349088FC29860806ABC5D&quot;,1)"/>
        <s v="=DISPIMG(&quot;ID_EAFC1CFFD21A48C1B7BC8F5BAE463DC8&quot;,1)"/>
        <s v="=DISPIMG(&quot;ID_D5AD4C2CAF6440218D03F6AA3F68C84C&quot;,1)"/>
        <s v="=DISPIMG(&quot;ID_22BB51C0DA44427DB6D5C3A721872DB8&quot;,1)"/>
        <s v="=DISPIMG(&quot;ID_FFC874FCB08F46CE8AB73771307BC5B8&quot;,1)"/>
        <s v="=DISPIMG(&quot;ID_4FF43F65BBE346618692C8C3CAA1EE25&quot;,1)"/>
        <s v="=DISPIMG(&quot;ID_A5412CC255F84B27AAC4E5410FFBDE43&quot;,1)"/>
        <s v="=DISPIMG(&quot;ID_C02DC56A5E804F998F1CE8DCA5FBC75E&quot;,1)"/>
        <s v="=DISPIMG(&quot;ID_7AB20C6BAF0F4DF88EA329B0DE6A65DF&quot;,1)"/>
        <s v="=DISPIMG(&quot;ID_5C58894615BB49BBBF2314F26943D114&quot;,1)"/>
        <s v="=DISPIMG(&quot;ID_EDEDEC13DA9D4384A12A7790D874B6B1&quot;,1)"/>
        <s v="=DISPIMG(&quot;ID_DD8EA0A6D60C4BB485A3CA8B405007FE&quot;,1)"/>
        <s v="=DISPIMG(&quot;ID_EB16F4A99D96409A94C832C7828255A1&quot;,1)"/>
        <s v="=DISPIMG(&quot;ID_04D32BDAE1CF45308BA4641CBD691806&quot;,1)"/>
        <s v="=DISPIMG(&quot;ID_4C7D47B700914DCCB6FF74E7E01A77C4&quot;,1)"/>
        <s v="=DISPIMG(&quot;ID_68C549DDF6974F418DACD7D9591576DC&quot;,1)"/>
        <s v="=DISPIMG(&quot;ID_E828AFC64973456592CB280713CFAE30&quot;,1)"/>
        <s v="=DISPIMG(&quot;ID_D206C4EB5AF14053AC79E51E16E90E2B&quot;,1)"/>
        <s v="=DISPIMG(&quot;ID_E27059F7A5A245DF9EF9999A2780073D&quot;,1)"/>
        <s v="=DISPIMG(&quot;ID_B61DEA5947704E27828BE3A3C5038095&quot;,1)"/>
        <s v="=DISPIMG(&quot;ID_1CB91013E7B94A48AFA6F43933AC3DB1&quot;,1)"/>
        <s v="=DISPIMG(&quot;ID_BC94B8BF3B24442186F895201860D3DD&quot;,1)"/>
        <s v="=DISPIMG(&quot;ID_82F494A7BC3641E6B81BE57C241C3064&quot;,1)"/>
        <s v="=DISPIMG(&quot;ID_5EFBA53A221A453F84EE55C2B1C4065B&quot;,1)"/>
        <s v="=DISPIMG(&quot;ID_A4782C8935E84860B6834087BF8EEB14&quot;,1)"/>
        <s v="=DISPIMG(&quot;ID_77098F26840442CD80502D8BD7C978DF&quot;,1)"/>
        <s v="=DISPIMG(&quot;ID_FFA226B7F5634999A32D7ACCBBC71943&quot;,1)"/>
        <s v="=DISPIMG(&quot;ID_04970A593D4547D28FE0ED25AD1A5B78&quot;,1)"/>
        <s v="=DISPIMG(&quot;ID_A9112329AF114EEF994659E055601B20&quot;,1)"/>
        <s v="=DISPIMG(&quot;ID_A992CF593BE245859CB418624C99F9BA&quot;,1)"/>
        <s v="=DISPIMG(&quot;ID_3D294C7F07C7401A85747A92018F993D&quot;,1)"/>
        <s v="=DISPIMG(&quot;ID_525DC5C76F9D4254AE7632BEE4DA770D&quot;,1)"/>
      </sharedItems>
    </cacheField>
    <cacheField name="产品线" numFmtId="0">
      <sharedItems count="7">
        <s v="婴幼童"/>
        <s v="婴童"/>
        <s v="幼童"/>
        <s v="中童"/>
        <s v="HOME"/>
        <s v="用品"/>
        <s v="鞋品"/>
      </sharedItems>
    </cacheField>
    <cacheField name="场景" numFmtId="0">
      <sharedItems count="10">
        <s v="婴童外出服"/>
        <s v="新生儿服装"/>
        <s v="幼童服装"/>
        <s v="日常生活-男"/>
        <s v="日常生活-女"/>
        <s v="城市户外"/>
        <s v="高光时刻"/>
        <s v="HOME"/>
        <s v="用品"/>
        <s v="鞋品"/>
      </sharedItems>
    </cacheField>
    <cacheField name="属性" numFmtId="0">
      <sharedItems count="1">
        <s v="全域款"/>
      </sharedItems>
    </cacheField>
    <cacheField name="IP" numFmtId="0">
      <sharedItems containsBlank="1" count="18">
        <s v="无"/>
        <s v="巴拉自有IP-小章鱼"/>
        <s v="小马宝莉"/>
        <s v="汪汪队"/>
        <s v="chiikawa吉伊卡哇"/>
        <s v="面包超人ANPANMAN"/>
        <s v="上海天文馆"/>
        <s v="奥特曼-赛罗"/>
        <s v="名侦探柯南"/>
        <s v="三丽鸥"/>
        <s v="柯南"/>
        <s v="猫和老鼠"/>
        <s v="_x000a_小马宝莉"/>
        <s v="_x000a_汪汪队"/>
        <s v="奥特曼"/>
        <m/>
        <s v="三丽鸥-库诺米"/>
        <s v="三丽鸥-HelloKitty"/>
      </sharedItems>
    </cacheField>
    <cacheField name="主题系列" numFmtId="0">
      <sharedItems containsBlank="1" count="82">
        <s v="日常玩乐"/>
        <s v="小巴金标"/>
        <s v="日常都市"/>
        <s v="我的第一个衣橱-日常"/>
        <s v="我的第一个衣橱-特护"/>
        <s v="日常必备"/>
        <s v="我的第一个衣橱—日常生活2"/>
        <s v="常青系列"/>
        <s v="日常潮酷"/>
        <s v="STUDIO"/>
        <s v="日常户外"/>
        <s v="日常生活"/>
        <s v="城市户外"/>
        <s v="城市户外-LAB"/>
        <s v="生活精致"/>
        <s v="高端精致"/>
        <s v="乐园公主"/>
        <s v="国风新中式"/>
        <s v="打底衫"/>
        <s v="内衣背心"/>
        <s v="背心（2件装）"/>
        <s v="打底裤"/>
        <s v="内衣单裤"/>
        <s v="内衣套装"/>
        <s v="寝具"/>
        <s v="家居套装"/>
        <s v="家居裙装"/>
        <s v="家居上衣"/>
        <s v="棉莫系"/>
        <s v="无痕系"/>
        <s v="成长内裤"/>
        <s v="生理内裤"/>
        <s v="棉系"/>
        <s v="莫代尔系"/>
        <s v="单裤（2件装）"/>
        <s v="家居马甲"/>
        <s v="brain背心"/>
        <s v="易去污学生袜"/>
        <s v="基础袜"/>
        <s v="连裤袜"/>
        <s v="甜美袜"/>
        <s v="中筒袜"/>
        <s v="中童袜"/>
        <s v="婴幼中筒袜"/>
        <s v="幼童袜"/>
        <s v="婴童袜"/>
        <s v="舞蹈袜"/>
        <s v="运动袜"/>
        <s v="萌宠袜"/>
        <s v="玩偶袜"/>
        <s v="IP袜"/>
        <s v="盲盒袜"/>
        <s v="中童-日常生活"/>
        <s v="中童-城市户外"/>
        <s v="中童-高光时刻"/>
        <s v="幼童-日常生活"/>
        <s v="婴童-日常生活"/>
        <s v="幼童-高光时刻"/>
        <s v="婴童-高光时刻"/>
        <s v="小章鱼5.0系列"/>
        <s v="小章鱼稳护系列"/>
        <s v="小海星系列"/>
        <m/>
        <s v="闪灯系列"/>
        <s v="小章鱼全地形系列"/>
        <s v="小章鱼机能鞋"/>
        <s v="龙爪系列"/>
        <s v="猫爪系列"/>
        <s v="赛车文化系列"/>
        <s v="足球文化系列"/>
        <s v="泡芙系列"/>
        <s v="德训系列"/>
        <s v="怪兽系列"/>
        <s v="高光系列"/>
        <s v="清风系列"/>
        <s v="闪电系列"/>
        <s v="飞云系列"/>
        <s v="光速系列"/>
        <s v="山野系列"/>
        <s v="山行系列"/>
        <s v="山跃系列"/>
        <s v="校园系列"/>
      </sharedItems>
    </cacheField>
    <cacheField name="内里厚度" numFmtId="0">
      <sharedItems containsString="0" containsBlank="1" containsNonDate="0" count="1">
        <m/>
      </sharedItems>
    </cacheField>
    <cacheField name="适穿温度" numFmtId="0">
      <sharedItems containsString="0" containsBlank="1" containsNonDate="0" count="1">
        <m/>
      </sharedItems>
    </cacheField>
    <cacheField name="风格_x000a_（中/幼/新生儿/外出）" numFmtId="0">
      <sharedItems count="9">
        <s v="玩乐"/>
        <s v="梦想"/>
        <s v="基础风格"/>
        <s v="休闲风格"/>
        <s v=""/>
        <s v="探索"/>
        <e v="#N/A"/>
        <s v="其他风格"/>
        <s v="运动风格"/>
      </sharedItems>
    </cacheField>
    <cacheField name="设计批次" numFmtId="0">
      <sharedItems count="7">
        <s v="7A"/>
        <s v="8A"/>
        <s v="6B"/>
        <s v="9B"/>
        <s v="1A"/>
        <s v="7D"/>
        <s v="9A"/>
      </sharedItems>
    </cacheField>
    <cacheField name="年龄段" numFmtId="0">
      <sharedItems count="4">
        <s v="婴童"/>
        <s v="幼童"/>
        <e v="#N/A"/>
        <s v="中童"/>
      </sharedItems>
    </cacheField>
    <cacheField name="尺码段" numFmtId="0">
      <sharedItems count="46">
        <s v="066-100"/>
        <s v="066-090"/>
        <s v="052-090"/>
        <s v="059-073"/>
        <s v="080"/>
        <s v="T080-120"/>
        <s v="048-052"/>
        <s v="052-073"/>
        <s v="052-100"/>
        <s v="080-130"/>
        <s v="090-180"/>
        <s v="110-175"/>
        <s v="090-150"/>
        <s v="090-175"/>
        <s v="110-170"/>
        <s v="090-160"/>
        <s v="090-170"/>
        <s v="160"/>
        <s v="150-170"/>
        <s v="140-160"/>
        <s v="130-170"/>
        <s v="130-175"/>
        <s v="T100-170"/>
        <s v="T100-160"/>
        <s v="T059-100"/>
        <s v="T066-120"/>
        <s v="T120-170"/>
        <s v="140"/>
        <s v="T130-150"/>
        <s v="130"/>
        <s v="150"/>
        <s v="110"/>
        <s v="073-090"/>
        <s v="T110-130"/>
        <s v="066-080"/>
        <s v="T110-165"/>
        <s v="T110-150"/>
        <s v="16-17"/>
        <s v="17-22"/>
        <s v="21-26"/>
        <s v="26-33"/>
        <s v="26-40"/>
        <s v="33-40"/>
        <s v="33-38"/>
        <s v="26-38"/>
        <s v="26-36"/>
      </sharedItems>
    </cacheField>
    <cacheField name="性别" numFmtId="0">
      <sharedItems count="3">
        <s v="男"/>
        <s v="女"/>
        <s v="中性"/>
      </sharedItems>
    </cacheField>
    <cacheField name="品类" numFmtId="0">
      <sharedItems count="40">
        <s v="便服"/>
        <s v="马甲"/>
        <s v="毛衫"/>
        <s v="长袖T恤"/>
        <s v="卫衣"/>
        <s v="短袖T恤"/>
        <s v="长袖衬衫"/>
        <s v="背心"/>
        <s v="套装"/>
        <s v="长裤"/>
        <s v="打底裤"/>
        <s v="短裤"/>
        <s v="连衣裙"/>
        <s v="外出连体衣"/>
        <s v="内着连体衣"/>
        <s v="内着三角衣"/>
        <s v="内着上衣"/>
        <s v="内着套装"/>
        <s v="内着下装"/>
        <s v="婴童礼盒"/>
        <s v="婴童寝具"/>
        <s v="婴童用品"/>
        <s v="棉服"/>
        <s v="羽绒服"/>
        <s v="短裙"/>
        <s v="短袖衬衫"/>
        <s v="中裤"/>
        <s v="内衣"/>
        <s v="家居服"/>
        <s v="文胸"/>
        <s v="内裤"/>
        <s v="袜子"/>
        <s v="包"/>
        <s v="帽子"/>
        <s v="饰品"/>
        <s v="玩具"/>
        <s v="杯子"/>
        <s v="宝宝鞋"/>
        <s v="运动鞋"/>
        <s v="休闲鞋"/>
      </sharedItems>
    </cacheField>
    <cacheField name="小类" numFmtId="0">
      <sharedItems count="115">
        <s v="梭织便服"/>
        <s v="针织便服"/>
        <s v="毛织马甲"/>
        <s v="针织马甲"/>
        <s v="开襟毛衫"/>
        <s v="翻领长袖T恤"/>
        <s v="圆V领长袖T恤"/>
        <s v="圆领卫衣"/>
        <s v="翻领卫衣"/>
        <s v="圆V领短袖T恤"/>
        <s v="印花长袖衬衫"/>
        <s v="其他长袖衬衫"/>
        <s v="针织背心"/>
        <s v="梭织背心"/>
        <s v="针织套装"/>
        <s v="梭织套装"/>
        <s v="牛仔套装"/>
        <s v="梭织长裤"/>
        <s v="针织长裤"/>
        <s v="牛仔长裤"/>
        <s v="打底长裤"/>
        <s v="针织短裤"/>
        <s v="牛仔短裤"/>
        <s v="梭织连衣裙"/>
        <s v="针织连衣裙"/>
        <s v="梭织连体衣"/>
        <s v="针织连体衣"/>
        <s v="其他连体衣"/>
        <s v="内着直开连体衣"/>
        <s v="内着侧开连体衣"/>
        <s v="内着三角衣"/>
        <s v="内着前开上衣"/>
        <s v="内着圆领全开套装"/>
        <s v="内着圆领前开套装"/>
        <s v="内着其他套装"/>
        <s v="内着满裆裤"/>
        <s v="内着礼盒"/>
        <s v="其他婴童寝具"/>
        <s v="睡袋"/>
        <s v="包巾"/>
        <s v="羽绒连体衣"/>
        <s v="内着其他下装"/>
        <s v="帽子"/>
        <s v="围兜"/>
        <s v="内着肩开上衣"/>
        <s v="内着全开上衣"/>
        <s v="内着圆领肩开套装"/>
        <s v="其他婴童用品"/>
        <s v="牛仔便服"/>
        <s v="梭织棉服"/>
        <s v="短羽绒服"/>
        <s v="梭织马甲"/>
        <s v="牛仔马甲"/>
        <s v="毛织背心"/>
        <s v="牛仔连衣裙"/>
        <s v="梭织短裙"/>
        <s v="牛仔短裙"/>
        <s v="圆领毛衫"/>
        <s v="中领长袖T恤"/>
        <s v="连帽卫衣"/>
        <s v="翻领短袖T恤"/>
        <s v="格子长袖衬衫"/>
        <s v="净色长袖衬衫"/>
        <s v="牛仔长袖衬衫"/>
        <s v="其他短袖衬衫"/>
        <s v="牛仔中裤"/>
        <s v="半开襟卫衣"/>
        <s v="翻领毛衫"/>
        <s v="针织中裤"/>
        <s v="条纹长袖衬衫"/>
        <s v="梭织短裤"/>
        <s v="针织短裙"/>
        <s v="其他长袖T恤"/>
        <s v="梭织中裤"/>
        <s v="打底衫"/>
        <s v="内衣背心"/>
        <s v="内衣裤装"/>
        <s v="内衣套装"/>
        <s v="其他家居"/>
        <s v="家居套装"/>
        <s v="家居裙装"/>
        <s v="家居上装"/>
        <s v="文胸"/>
        <s v="三角裤"/>
        <s v="平角裤"/>
        <s v="短袜"/>
        <s v="中袜"/>
        <s v="连裤袜"/>
        <s v="书包"/>
        <s v="休闲包"/>
        <s v="软沿帽"/>
        <s v="盆帽"/>
        <s v="棒球帽"/>
        <s v="其他帽子"/>
        <s v="贝雷帽"/>
        <s v="发夹"/>
        <s v="发箍"/>
        <s v="发绳"/>
        <s v="项链"/>
        <s v="压克力套盒"/>
        <s v="耳夹"/>
        <s v="纸质套盒"/>
        <s v="啪啪圈"/>
        <s v="贴纸"/>
        <s v="挂件"/>
        <s v="车模"/>
        <s v="保温杯"/>
        <s v="步前鞋"/>
        <s v="学步鞋"/>
        <s v="稳步鞋"/>
        <s v="运动生活鞋"/>
        <s v="板鞋"/>
        <s v="时尚生活鞋"/>
        <s v="跑步鞋"/>
        <s v="户外鞋"/>
      </sharedItems>
    </cacheField>
    <cacheField name="颜色名称" numFmtId="0">
      <sharedItems count="273">
        <s v="黄绿色调00334"/>
        <s v="绿色调00444"/>
        <s v="白色调00411"/>
        <s v="绿色调00344"/>
        <s v="白红色调00316"/>
        <s v="冰蓝A81510"/>
        <s v="蓝色调00488"/>
        <s v="粉蓝80085"/>
        <s v="奶白10501"/>
        <s v="白黄色调00313"/>
        <s v="香草白10710"/>
        <s v="白绿色调00314"/>
        <s v="淡黄31401"/>
        <s v="米白10302"/>
        <s v="浅卡其50335"/>
        <s v="本白10101"/>
        <s v="淡黄31408"/>
        <s v="蓝色调00388"/>
        <s v="黄白色调00331"/>
        <s v="白绿色调00414"/>
        <s v="梦幻粉60356"/>
        <s v="白蓝色调00318"/>
        <s v="白黄色调00413"/>
        <s v="黄白色调00431"/>
        <s v="白红色调00416"/>
        <s v="白蓝色调00418"/>
        <s v="黄绿色调00434"/>
        <s v="咖啡50806"/>
        <s v="黄咖色调00435"/>
        <s v="绿咖色调00445"/>
        <s v="白色调00311"/>
        <s v="白咖色调00315"/>
        <s v="黄色调00433"/>
        <s v="白咖色调00415"/>
        <s v="咖色调00355"/>
        <s v="蓝白色调00481"/>
        <s v="晨灰20164"/>
        <s v="土灰绿40961"/>
        <s v="中灰20410"/>
        <s v="浅驼50008"/>
        <s v="咖啡50837"/>
        <s v="浅卡其50311"/>
        <s v="咖啡50855"/>
        <s v="牛仔深蓝88301"/>
        <s v="深蓝80821"/>
        <s v="卡其50609"/>
        <s v="浅花灰00205"/>
        <s v="绿黄色调00343"/>
        <s v="绿咖色调00345"/>
        <s v="紫色调00377"/>
        <s v="蓝白色调00381"/>
        <s v="红白色调00361"/>
        <s v="红色调00366"/>
        <s v="粉蓝80011"/>
        <s v="浅黄30001"/>
        <s v="粉色调01315"/>
        <s v="白灰色调00312"/>
        <s v="咖啡50808"/>
        <s v="梦幻粉60302"/>
        <s v="冰蓝80932"/>
        <s v="柠檬黄30323"/>
        <s v="梦幻粉60320"/>
        <s v="浅卡其50307"/>
        <s v="蓝咖色调00485"/>
        <s v="红色调00466"/>
        <s v="粉蓝80013"/>
        <s v="黄色调00333"/>
        <s v="粉红60005"/>
        <s v="黄绿41122"/>
        <s v="灰黄色调00323"/>
        <s v="象牙白10402"/>
        <s v="浅卡其50325"/>
        <s v="粉红60053"/>
        <s v="浅驼50002"/>
        <s v="牛仔粉色68101"/>
        <s v="蓝绿41539"/>
        <s v="品灰20218"/>
        <s v="卡其50606"/>
        <s v="牛仔灰28101"/>
        <s v="灰白色调00321"/>
        <s v="粉红60014"/>
        <s v="黑色90001"/>
        <s v="粉紫A70721"/>
        <s v="牛仔中蓝88201"/>
        <s v="牛仔黄色38101"/>
        <s v="浅花灰00211"/>
        <s v="黄绿41115"/>
        <s v="冰蓝80923"/>
        <s v="胡桃棕51001"/>
        <s v="原色牛仔98101"/>
        <s v="黄绿41184"/>
        <s v="梦幻粉60334"/>
        <s v="灰蓝色调00328"/>
        <s v="中国蓝80521"/>
        <s v="粉紫70013"/>
        <s v="胡桃棕51005"/>
        <s v="深红69401"/>
        <s v="柠檬黄30305"/>
        <s v="茶灰20713"/>
        <s v="粉绿A41416"/>
        <s v="玫红60136"/>
        <s v="中国红60648"/>
        <s v="牛仔蓝80304"/>
        <s v="粉蓝80023"/>
        <s v="粉绿40349"/>
        <s v="灰色调00322"/>
        <s v="牛仔浅灰28201"/>
        <s v="粉蓝80025"/>
        <s v="红灰色调00362"/>
        <s v="红白色调00461"/>
        <s v="咖色调00455"/>
        <s v="冰蓝A81503"/>
        <s v="土灰绿40942"/>
        <s v="灰色调00422"/>
        <s v="灰黑色调00429"/>
        <s v="粉红60006"/>
        <s v="粉紫70032"/>
        <s v="粉蓝80078"/>
        <s v="灰白色调00421"/>
        <s v="中国红60658"/>
        <s v="粉绿A41428"/>
        <s v="红紫色调00467"/>
        <s v="黑白色调00491"/>
        <s v="牛仔浅蓝88101"/>
        <s v="浅灰20045"/>
        <s v="深咖啡50904"/>
        <s v="深卡其50704"/>
        <s v="咖啡A51202"/>
        <s v="品灰20210"/>
        <s v="军绿40626"/>
        <s v="深卡其50710"/>
        <s v="胡桃棕51006"/>
        <s v="橄榄绿40887"/>
        <s v="暮蓝81004"/>
        <s v="中花灰00502"/>
        <s v="牛仔中灰28301"/>
        <s v="红咖色调00465"/>
        <s v="紫色调00477"/>
        <s v="牛仔浅绿48201"/>
        <s v="绿灰色调00442"/>
        <s v="浅花灰00226"/>
        <s v="蓝灰色调00382"/>
        <s v="黄绿41118"/>
        <s v="绿白色调00341"/>
        <s v="烟灰银20311"/>
        <s v="白黑色调00319"/>
        <s v="紫灰色调00372"/>
        <s v="白黑色调00419"/>
        <s v="蓝红色调00386"/>
        <s v="红黑色调00369"/>
        <s v="白灰色调00412"/>
        <s v="深灰20911"/>
        <s v="晨灰20113"/>
        <s v="灰绿色调00324"/>
        <s v="贝壳卡50230"/>
        <s v="军绿40619"/>
        <s v="牛仔灰白28401"/>
        <s v="牛仔深绿48101"/>
        <s v="冷灰20510"/>
        <s v="浅驼50028"/>
        <s v="灰蓝A81322"/>
        <s v="梦幻粉60316"/>
        <s v="烟灰卡50525"/>
        <s v="褐灰20841"/>
        <s v="灰蓝色调00428"/>
        <s v="土灰绿40922"/>
        <s v="灰蓝80235"/>
        <s v="黑灰色调00492"/>
        <s v="灰绿色调00424"/>
        <s v="灰红色调00426"/>
        <s v="奶白10504"/>
        <s v="深卡其A51308"/>
        <s v="中国红60646"/>
        <s v="粉紫70030"/>
        <s v="冰蓝A81515"/>
        <s v="白紫色调00417"/>
        <s v="梦幻粉60397"/>
        <s v="紫白色调00471"/>
        <s v="牛仔浅中蓝88601"/>
        <s v="粉紫70048"/>
        <s v="中灰20406"/>
        <s v="牛仔浅蓝88102"/>
        <s v="黑白色调00391"/>
        <s v="深灰20928"/>
        <s v="深蓝A81617"/>
        <s v="粉红A61323"/>
        <s v="深咖啡50909"/>
        <s v="铁灰20608"/>
        <s v="粉红A61312"/>
        <s v="粉蓝80022"/>
        <s v="紫蓝色调00378"/>
        <s v="浅灰20048"/>
        <s v="冰蓝80924"/>
        <s v="中国蓝80520"/>
        <s v="深灰20989"/>
        <s v="橙黄31398"/>
        <s v="湖蓝80403"/>
        <s v="黄绿A41746"/>
        <s v="黑灰色调00392"/>
        <s v="黄红色调00336"/>
        <s v="蓝灰色调00482"/>
        <s v="柠檬黄30340"/>
        <s v="浅卡其50334"/>
        <s v="蓝黑色调00389"/>
        <s v="咖绿色调00354"/>
        <s v="绿花灰00913"/>
        <s v="深咖啡50946"/>
        <s v="石墨蓝81226"/>
        <s v="咖花灰01132"/>
        <s v="冰蓝80921"/>
        <s v="晨灰20171"/>
        <s v="黑咖色调00395"/>
        <s v="牛仔水洗黑98201"/>
        <s v="橡皮粉61206"/>
        <s v="黑色调00499"/>
        <s v="红绿色调00364"/>
        <s v="深花灰00104"/>
        <s v="紫黄色调00373"/>
        <s v="黄紫色调00337"/>
        <s v="黑色调00399"/>
        <s v="白紫色调00317"/>
        <s v="绿蓝色调00348"/>
        <s v="蓝绿色调00384"/>
        <s v="咖蓝色调00358"/>
        <s v="绿灰色调00342"/>
        <s v="红紫色调00367"/>
        <s v="紫白色调00371"/>
        <s v="红黄色调00363"/>
        <s v="红蓝色调00368"/>
        <s v="蓝咖色调00385"/>
        <s v="黑黄色调00393"/>
        <s v="粉红60001"/>
        <s v="深蓝80802"/>
        <s v="冰蓝80901"/>
        <s v="沙卡50401"/>
        <s v="黑红色调00396"/>
        <s v="粉蓝80001"/>
        <s v="烟灰银20310"/>
        <s v="花蓝色调00308"/>
        <s v="花紫色调00407"/>
        <s v="花咖色调00305"/>
        <s v="玫红60101"/>
        <s v="白花色调00310"/>
        <s v="粉紫70001"/>
        <s v="卡其50601"/>
        <s v="灰蓝80201"/>
        <s v="浅卡其50301"/>
        <s v="咖啡50801"/>
        <s v="叻色01001"/>
        <s v="黄黑色调00439"/>
        <s v="蓝紫色调00387"/>
        <s v="梦幻粉60301"/>
        <s v="黄咖色调00335"/>
        <s v="黑花色调00390"/>
        <s v="米白10301"/>
        <s v="烟灰银20301"/>
        <s v="挂镀浅金09001"/>
        <s v="浅花灰00202"/>
        <s v="灰红色调00326"/>
        <s v="米白10303"/>
        <s v="花白色调00301"/>
        <s v="米黄30201"/>
        <s v="象牙白10401"/>
        <s v="灰黑色调00329"/>
        <s v="黑蓝色调00398"/>
        <s v="紫红色调00376"/>
        <s v="黑紫色调00397"/>
        <s v="黑绿色调00394"/>
        <s v="绿花色调00340"/>
        <s v="深咖啡50901"/>
        <s v="灰紫色调00327"/>
        <s v="花灰色调00300"/>
        <s v="卡黑色调00359"/>
      </sharedItems>
    </cacheField>
    <cacheField name="颜色代码" numFmtId="0">
      <sharedItems containsNumber="1" containsInteger="1" containsMixedTypes="1" count="281">
        <s v="00334"/>
        <s v="00444"/>
        <s v="00411"/>
        <s v="00344"/>
        <s v="00316"/>
        <s v="81510"/>
        <s v="00488"/>
        <s v="80085"/>
        <s v="10501"/>
        <s v="00313"/>
        <s v="10710"/>
        <s v="00314"/>
        <s v="31401"/>
        <s v="10302"/>
        <s v="50335"/>
        <s v="10101"/>
        <s v="31408"/>
        <s v="00388"/>
        <s v="00331"/>
        <s v="00414"/>
        <s v="60356"/>
        <s v="00318"/>
        <s v="00413"/>
        <s v="00431"/>
        <n v="10302"/>
        <s v="00416"/>
        <s v="00418"/>
        <s v="00434"/>
        <s v="50806"/>
        <s v="00435"/>
        <s v="00445"/>
        <s v="00311"/>
        <s v="00315"/>
        <s v="00433"/>
        <s v="00415"/>
        <s v="00355"/>
        <s v="00481"/>
        <s v="20164"/>
        <s v="40961"/>
        <s v="20410"/>
        <s v="50008"/>
        <s v="50837"/>
        <s v="50311"/>
        <s v="50855"/>
        <s v="88301"/>
        <s v="80821"/>
        <s v="50609"/>
        <s v="00205"/>
        <s v="00343"/>
        <s v="00345"/>
        <s v="00377"/>
        <s v="00381"/>
        <s v="00361"/>
        <s v="00366"/>
        <s v="80011"/>
        <s v="30001"/>
        <s v="01315"/>
        <s v="00312"/>
        <s v="50808"/>
        <s v="60302"/>
        <s v="80932"/>
        <s v="30323"/>
        <s v="60320"/>
        <s v="50307"/>
        <s v="00485"/>
        <s v="00466"/>
        <s v="80013"/>
        <s v="00333"/>
        <s v="60005"/>
        <s v="41122"/>
        <s v="00323"/>
        <s v="10402"/>
        <s v="50325"/>
        <s v="60053"/>
        <n v="10101"/>
        <s v="50002"/>
        <s v="68101"/>
        <s v="41539"/>
        <s v="20218"/>
        <s v="50606"/>
        <s v="28101"/>
        <s v="00321"/>
        <s v="60014"/>
        <n v="90001"/>
        <s v="70721"/>
        <s v="88201"/>
        <s v="38101"/>
        <s v="00211"/>
        <s v="41115"/>
        <s v="80923"/>
        <s v="51001"/>
        <s v="98101"/>
        <s v="41184"/>
        <s v="60334"/>
        <s v="00328"/>
        <s v="80521"/>
        <s v="70013"/>
        <s v="51005"/>
        <s v="69401"/>
        <s v="30305"/>
        <s v="20713"/>
        <s v="41416"/>
        <s v="60136"/>
        <s v="60648"/>
        <s v="80304"/>
        <s v="90001"/>
        <s v="80023"/>
        <s v="40349"/>
        <s v="00322"/>
        <s v="28201"/>
        <s v="80025"/>
        <s v="00362"/>
        <s v="00461"/>
        <n v="10501"/>
        <s v="00455"/>
        <s v="81503"/>
        <s v="40942"/>
        <s v="00422"/>
        <s v="00429"/>
        <s v="60006"/>
        <s v="70032"/>
        <s v="80078"/>
        <s v="00421"/>
        <s v="60658"/>
        <n v="41428"/>
        <s v="00467"/>
        <s v="00491"/>
        <s v="88101"/>
        <s v="20045"/>
        <s v="50904"/>
        <s v="50704"/>
        <s v="51202"/>
        <s v="20210"/>
        <s v="40626"/>
        <s v="50710"/>
        <s v="51006"/>
        <s v="40887"/>
        <s v="81004"/>
        <s v="00502"/>
        <n v="88201"/>
        <s v="28301"/>
        <s v="00465"/>
        <s v="00477"/>
        <s v="48201"/>
        <s v="00442"/>
        <s v="00226"/>
        <s v="00382"/>
        <s v="41118"/>
        <s v="00341"/>
        <s v="20311"/>
        <s v="00319"/>
        <s v="00372"/>
        <s v="00419"/>
        <s v="00386"/>
        <s v="00369"/>
        <s v="00412"/>
        <s v="20911"/>
        <s v="20113"/>
        <s v="00324"/>
        <s v="50230"/>
        <s v="40619"/>
        <s v="28401"/>
        <s v="48101"/>
        <s v="20510"/>
        <s v="50028"/>
        <s v="81322"/>
        <s v="60316"/>
        <s v="50525"/>
        <s v="20841"/>
        <s v="00428"/>
        <s v="40922"/>
        <s v="80235"/>
        <s v="00492"/>
        <s v="00424"/>
        <s v="00426"/>
        <s v="10504"/>
        <s v="51308"/>
        <s v="60646"/>
        <s v="70030"/>
        <s v="81515"/>
        <s v="00417"/>
        <s v="60397"/>
        <s v="00471"/>
        <s v="88601"/>
        <s v="70048"/>
        <s v="20406"/>
        <s v="88102"/>
        <s v="00391"/>
        <s v="20928"/>
        <s v="81617"/>
        <s v="61323"/>
        <s v="50909"/>
        <s v="20608"/>
        <s v="61312"/>
        <s v="80022"/>
        <n v="60356"/>
        <s v="00378"/>
        <s v="20048"/>
        <s v="80924"/>
        <s v="80520"/>
        <s v="20989"/>
        <s v="31398"/>
        <s v="80403"/>
        <s v="41746"/>
        <s v="00392"/>
        <s v="00336"/>
        <s v="00482"/>
        <s v="30340"/>
        <s v="50334"/>
        <s v="00389"/>
        <s v="00354"/>
        <s v="00913"/>
        <s v="50946"/>
        <s v="81226"/>
        <s v="01132"/>
        <s v="80921"/>
        <s v="20171"/>
        <s v="00395"/>
        <s v="98201"/>
        <s v="61206"/>
        <s v="00499"/>
        <s v="00364"/>
        <s v="00104"/>
        <s v="00373"/>
        <s v="00337"/>
        <s v="00399"/>
        <s v="00317"/>
        <s v="00348"/>
        <s v="00384"/>
        <s v="00358"/>
        <s v="00342"/>
        <s v="00367"/>
        <s v="00371"/>
        <s v="00363"/>
        <s v="00368"/>
        <s v="00385"/>
        <s v="00393"/>
        <s v="60001"/>
        <s v="80802"/>
        <s v="80901"/>
        <s v="50401"/>
        <s v="00396"/>
        <s v="80001"/>
        <s v="20310"/>
        <s v="00308"/>
        <s v="00407"/>
        <s v="00305"/>
        <s v="60101"/>
        <s v="00310"/>
        <s v="70001"/>
        <s v="50601"/>
        <n v="60001"/>
        <s v="80201"/>
        <s v="50301"/>
        <s v="50801"/>
        <s v="01001"/>
        <s v="00439"/>
        <s v="00387"/>
        <s v="60301"/>
        <s v="00335"/>
        <s v="00390"/>
        <s v="10301"/>
        <s v="20301"/>
        <s v="09001"/>
        <s v="00202"/>
        <s v="00326"/>
        <s v="10303"/>
        <s v="00301"/>
        <s v="30201"/>
        <s v="10401"/>
        <s v="00329"/>
        <s v="00398"/>
        <s v="00376"/>
        <s v="00397"/>
        <s v="00394"/>
        <s v="00340"/>
        <s v="50901"/>
        <s v="00327"/>
        <s v="00300"/>
        <s v="00359"/>
        <n v="98101"/>
      </sharedItems>
    </cacheField>
    <cacheField name="核对匹配" numFmtId="0">
      <sharedItems containsString="0" containsBlank="1" containsNonDate="0" count="1">
        <m/>
      </sharedItems>
    </cacheField>
    <cacheField name="上下装配色" numFmtId="0">
      <sharedItems containsString="0" containsBlank="1" containsNonDate="0" count="1">
        <m/>
      </sharedItems>
    </cacheField>
    <cacheField name="单款包含的件数" numFmtId="0">
      <sharedItems containsString="0" containsBlank="1" containsNonDate="0" count="1">
        <m/>
      </sharedItems>
    </cacheField>
    <cacheField name="吊牌价" numFmtId="0">
      <sharedItems containsSemiMixedTypes="0" containsString="0" containsNumber="1" minValue="0" maxValue="1099" count="36">
        <n v="239"/>
        <n v="199"/>
        <n v="269"/>
        <n v="359"/>
        <n v="299"/>
        <n v="169"/>
        <n v="139"/>
        <n v="119"/>
        <n v="99"/>
        <n v="79"/>
        <n v="399"/>
        <n v="459"/>
        <n v="499"/>
        <n v="599"/>
        <n v="119.9"/>
        <n v="169.9"/>
        <n v="199.9"/>
        <n v="99.9"/>
        <n v="139.9"/>
        <n v="359.9"/>
        <n v="399.9"/>
        <n v="269.9"/>
        <n v="59"/>
        <n v="19"/>
        <n v="29"/>
        <n v="239.9"/>
        <n v="299.9"/>
        <n v="599.9"/>
        <n v="699"/>
        <n v="1099"/>
        <n v="39"/>
        <n v="49"/>
        <n v="25"/>
        <n v="10"/>
        <n v="20"/>
        <n v="329"/>
      </sharedItems>
    </cacheField>
    <cacheField name="核算吊牌价" numFmtId="0">
      <sharedItems containsSemiMixedTypes="0" containsString="0" containsNumber="1" minValue="0" maxValue="1099" count="36">
        <n v="239"/>
        <n v="199"/>
        <n v="269"/>
        <n v="359"/>
        <n v="299"/>
        <n v="169"/>
        <n v="139"/>
        <n v="119"/>
        <n v="99"/>
        <n v="79"/>
        <n v="399"/>
        <n v="459"/>
        <n v="499"/>
        <n v="599"/>
        <n v="119.9"/>
        <n v="169.9"/>
        <n v="199.9"/>
        <n v="99.9"/>
        <n v="139.9"/>
        <n v="359.9"/>
        <n v="399.9"/>
        <n v="269.9"/>
        <n v="59"/>
        <n v="19"/>
        <n v="29"/>
        <n v="239.9"/>
        <n v="299.9"/>
        <n v="599.9"/>
        <n v="699"/>
        <n v="1099"/>
        <n v="39"/>
        <n v="49"/>
        <n v="25"/>
        <n v="10"/>
        <n v="20"/>
        <n v="329"/>
      </sharedItems>
    </cacheField>
    <cacheField name="特殊标识" numFmtId="0">
      <sharedItems containsString="0" containsBlank="1" containsNonDate="0" count="1">
        <m/>
      </sharedItems>
    </cacheField>
    <cacheField name="商品信息 " numFmtId="0">
      <sharedItems containsString="0" containsBlank="1" containsNonDate="0" count="1">
        <m/>
      </sharedItems>
    </cacheField>
    <cacheField name="面种" numFmtId="0">
      <sharedItems count="5">
        <s v="梭织"/>
        <s v="针织"/>
        <s v="毛织"/>
        <s v="牛仔"/>
        <s v="其他"/>
      </sharedItems>
    </cacheField>
    <cacheField name="大身面料" numFmtId="0">
      <sharedItems count="412">
        <s v="涤纶四面弹印手绘植物彩格"/>
        <s v="21W全棉灯芯绒（亚东）"/>
        <s v="265g棉魔法纱卫衣印趣味植物"/>
        <s v="涤纶四面弹印手绘植物彩烟花"/>
        <s v="75D星点提花布烫膜"/>
        <s v="260G棉拉架提花双面—流光星陨（4250160#）印仿小香风"/>
        <s v="高弹春亚纺贴膜（Recycle新编码）印格纹"/>
        <s v="高弹春亚纺三合一飘纱(Recycle)"/>
        <s v="285G棉涤夹丝双面布—迷宫（6250052#）"/>
        <s v="高弹春亚纺贴膜（Recycle新编码）印碎花狗狗"/>
        <s v="295G针织仿毛织双面布(4240195#)"/>
        <s v="270G棉涤格子提花表刷毛印小碎花"/>
        <s v="28S/2 60%精梳棉40%腈纶（膨体）"/>
        <s v="32S/2 100%柔丽棉（紧密塞络纺）"/>
        <s v="32S/2 44%腈纶34%聚酯纤维22%棉"/>
        <s v="超柔绒（加厚版）印精致格纹"/>
        <s v="32S/2 75%棉25%涤纶（超级纤维)"/>
        <s v="32S/2 50%棉30%优可丝20%莱赛尔"/>
        <s v="28S/2 65%腈纶35%涤纶(超级纤维)"/>
        <s v="2/32Nm 100%精梳棉点子纱（百隆)"/>
        <s v="170G棉粘珠地布"/>
        <s v="195G呼吸棉"/>
        <s v="[190]单面布轻磨毛版本"/>
        <s v="165G专属单面布（婴幼手感）"/>
        <s v="小菱形网纱"/>
        <s v="200G纯棉双面提花楼梯格24030009小巴绿色枝叶花朵"/>
        <s v="220移圈浮雕提花——秋伞流星（4250199#）"/>
        <s v="140G柔皮棉单面布印手绘植物彩烟花"/>
        <s v="200G全棉双面布色织宽窄彩条"/>
        <s v="220G纯棉双面提花—竖条灯笼（4240012#)"/>
        <s v="[190]单面布轻磨毛版本印彩色条纹"/>
        <s v="复合丝小菱形网纱"/>
        <s v="270G棉涤格子提花表刷毛色织条纹"/>
        <s v="280G超级纤维空气层"/>
        <s v="120G全棉单面布"/>
        <s v="棉莫方格提花色织布小巴金格纹"/>
        <s v="婴童松式泡泡色织格"/>
        <s v="40S全棉纱罗提花布-小巴藤蔓印花"/>
        <s v="竹棉回型格双层纱布小巴藤蔓印花"/>
        <s v="32S/2 15%巴素兰羊毛85%抗起毛球腈纶（膨体）"/>
        <s v="170G棉涤提花罗纹布"/>
        <s v="TR人字纹色织布起毛"/>
        <s v="棉天丝斜纹磨毛"/>
        <s v="265g棉魔法纱卫衣印水洗晕染色"/>
        <s v="棉氨方格泡泡布印手绘植物彩烟花"/>
        <s v="60S巴厘纱里布"/>
        <s v="婴童色织仿牛仔"/>
        <s v="285G斜纹拉架仿牛仔（升级版）"/>
        <s v="中弹莫代尔靛蓝染色"/>
        <s v="260G棉拉架提花双面—流光星陨印碎花狗狗（4250160#）"/>
        <s v="棉天丝斜纹磨毛印趣味植物"/>
        <s v="棉莱赛尔弹力乱纹（厚版）"/>
        <s v="245G珠地夹层双面布"/>
        <s v="棉天丝锦纶左斜"/>
        <s v="220G纯棉双面提花—星空物语（4250131#）"/>
        <s v="205G亲肤斜纹提花—小狮子"/>
        <s v="26S全棉双面提花—回型格（4250145#）"/>
        <s v="26S全棉双面提花麦穗印小碎花"/>
        <s v="250G云感单面表刷毛"/>
        <s v="235G真窿抽针提花罗文"/>
        <s v="270G1*1拉架罗纹表刷毛"/>
        <s v="145G单面布"/>
        <s v="醋酸天丝牛仔（浅色版）"/>
        <s v="TR人字纹色织布起毛-小巴金格纹"/>
        <s v="210G棉氨链条提花布"/>
        <s v="220G2*2拉架罗纹"/>
        <s v="280G棉粘拉架提花双面布"/>
        <s v="260G棉拉架提花双面—流光星陨（4250160#）"/>
        <s v="315G棉氨小面包格提花双面布"/>
        <s v="245G珠地夹层双面布印宽窄彩条"/>
        <s v="235g波纹提花双面布印小碎花"/>
        <s v="370G暖宝宝弹力夹层—云朵（6250049#）"/>
        <s v="225G纯棉双面提花—欧式肌理印文艺简洁满印  （4250134#)"/>
        <s v="220G纯棉双面提花—花瓣（4250074#）"/>
        <s v="260G移圈浮雕提花—底纹（4250164#）"/>
        <s v="200G纯棉双面提花—楼梯格（ST24030009)"/>
        <s v="170G亚微米镶嵌金银花单面布印清新满印"/>
        <s v="180G羊毛蚕丝混纺移圈提花"/>
        <s v="185G液氨高支双面布"/>
        <s v="170G亚微米镶嵌金银花单面布印四食之乐"/>
        <s v="140G柔皮棉单面布（新编号）"/>
        <s v="185G液氨高支双面布印静谧图案"/>
        <s v="320G依翡丝保暖夹层—海燕（6240038#）"/>
        <s v="225G纯棉双面提花—欧式肌理印四食之乐 （4250134#)"/>
        <s v="190G移圈浮雕提花——纤凝星空（4240185#）"/>
        <s v="185G液氨高支双面布印简洁星月"/>
        <s v="140G柔皮棉单面布色织宽条"/>
        <s v="170G亚微米镶嵌金银花单面布印简洁图案"/>
        <s v="165G全棉单面布磨毛（愉悦）印静谧图案"/>
        <s v="165G全棉单面布磨毛（愉悦）印独角兽"/>
        <s v="140G柔皮棉单面布印印静谧图案"/>
        <s v="280g双面布底拉毛"/>
        <s v="415G抽条天鹅绒复合短毛绒"/>
        <s v="羊羔毛复合天鹅绒印小狗"/>
        <s v="250G贝贝绒"/>
        <s v="羊羔毛复合天鹅绒"/>
        <s v="300g暖宝宝双面色织蓝咖条纹"/>
        <s v="300g暖宝宝双面"/>
        <s v="420T尼丝纺（三防）"/>
        <s v="320G依翡丝保暖夹层—牛角包和星星（6250016#）"/>
        <s v="195G1*1拉架罗纹表刷毛（普通棉）色织条纹"/>
        <s v="195G1*1拉架罗纹表刷毛（普通棉）"/>
        <s v="140G柔皮棉单面布印小章鱼"/>
        <s v="140G柔皮棉单面布印月亮"/>
        <s v="无纺布"/>
        <s v="15D尼龙浮格"/>
        <s v="彩色全棉牛仔"/>
        <s v="270G棉涤格子提花表刷毛"/>
        <s v="高弹春亚纺三合一飘纱(Recycle)印晕染"/>
        <s v="棉莫色织布——彩色格纹印晕染"/>
        <s v="风壳斜纹染泼（Recycle）"/>
        <s v="全棉彩色牛仔"/>
        <s v="全棉超柔彩色牛仔"/>
        <s v="235g波纹提花双面布"/>
        <s v="风壳斜纹贴膜（Recycle）"/>
        <s v="215g棉涤挺阔斜纹"/>
        <s v="全棉复古斜纹牛仔提圆点花"/>
        <s v="240G棉涤提花双面—人字纹"/>
        <s v="彩色全棉牛仔提灯芯条"/>
        <s v="羊羔毛复合天鹅绒印花动物剪影"/>
        <s v="肤感纺烫膜（防绒版）"/>
        <s v="肤感纺烫膜（防绒版）绗单线扁弧形绗线"/>
        <s v="25D亲肤尼（2024版本）三合一动物压花"/>
        <s v="25D亲肤尼（2024版本）印动物剪影"/>
        <s v="25D亲肤尼（2024版本）"/>
        <s v="2/28Nm 55%腈纶45%棉（固体）"/>
        <s v="高色牢度原色牛仔中蓝灯芯条"/>
        <s v="40D棉感微皱尼龙布"/>
        <s v="全棉复古斜纹牛仔B"/>
        <s v="250G贝贝绒印几何费尔岛"/>
        <s v="羊羔毛复合天鹅绒印趣味小动物"/>
        <s v="36S/2 100%精梳棉（环锭纺）"/>
        <s v="170G挺括单面布"/>
        <s v="棉氨全衬2*2罗纹"/>
        <s v="A100天丝牙签条印绣球花"/>
        <s v="全棉细斜纹牛仔C"/>
        <s v="195G1*1拉架罗纹表普通棉）色织条纹"/>
        <s v="精致衬衫小提花"/>
        <s v="55G圆点提花网纱"/>
        <s v="180g棉超级纤维单面2.0（凉茶速干抗菌）"/>
        <s v="170g全涤运动网眼提花"/>
        <s v="粉紫炫彩小香风"/>
        <s v="棉莱赛尔混纺府绸"/>
        <s v="60S府绸"/>
        <s v="240g锦粘精致珠地"/>
        <s v="高色牢度弹力牛仔(深色）印小章鱼老花"/>
        <s v="微弹竹节牛仔（黑经白纬）"/>
        <s v="250G棉氨乱纹提花"/>
        <s v="280G超级纤维空气层印彩点"/>
        <s v="2/60S 100%精梳棉(赛络纺)"/>
        <s v="1/8Nm 70%涤纶30%棉(曲棉 AB)"/>
        <s v="190g棉莫拉架皱皱布印小绿兔"/>
        <s v="170G挺括单面布色织两色简单条纹"/>
        <s v="195G1*1拉架罗纹表普通棉）"/>
        <s v="245G珠地夹层双面布印宽条纹"/>
        <s v="225G精致六眼珠地"/>
        <s v="[230]棉涤弹竹节罗马布"/>
        <s v="全棉链条提花色织布印樱桃"/>
        <s v="195G1*1拉架罗纹表普通棉）印花波点"/>
        <s v="170G挺括单面布印仿水洗"/>
        <s v="250G满天星珍珠绒"/>
        <s v="300g暖宝宝双面色织条纹幼童"/>
        <s v="265g棉魔法纱卫衣"/>
        <s v="棉拉架竖条双面布"/>
        <s v="26S全棉双面提花（基布）—麦穗"/>
        <s v="240G棉涤提花双面—人字纹印花汪汪队图案"/>
        <s v="160g棉超级纤维单面（凉茶抗菌）"/>
        <s v="170g全涤运动网眼提花印花宽条纹"/>
        <s v="棉莱赛尔混纺府绸印印麦穗花"/>
        <s v="40S全棉纱罗提花布"/>
        <s v="全棉色织松洗平布印动物线条"/>
        <s v="140g棉粘麻平布印竖条小章鱼"/>
        <s v="超柔绒（加厚版）印抽象图案"/>
        <s v="超柔绒（加厚版）色织格"/>
        <s v="超柔绒（加厚版）—色织多彩格纹"/>
        <s v="155G化纤拉架单面布"/>
        <s v="280G棉拉架竖条提花双面"/>
        <s v="280g仿呢料斜纹双面"/>
        <s v="240G棉粘超级纤维空气层"/>
        <s v="消光尼龙四面弹登山布"/>
        <s v="中弹彩色牛仔"/>
        <s v="全棉竹节牛仔C"/>
        <s v="超柔低弹细斜纹彩色牛仔"/>
        <s v="300G仿呢料提花双面"/>
        <s v="超柔双层斜纹"/>
        <s v="婴童色织仿牛仔（120*76）"/>
        <s v="双面斜纹T8"/>
        <s v="高色牢度弹力牛仔(深色）"/>
        <s v="微弹粗纹理斜纹牛仔B"/>
        <s v="275G棉超级纤维双面拉架布（普通版本）"/>
        <s v="柔弹细斜纹竹节牛仔"/>
        <s v="棉超级纤维斜纹牛仔"/>
        <s v="195G棉莱赛尔磨毛细斜"/>
        <s v="牛仔中蓝灯芯条"/>
        <s v="全棉竹节牛仔（黑经白纬）"/>
        <s v="锦氨0.2格子复合横条摇粒绒"/>
        <s v="415G迷你人字纹复合短毛绒"/>
        <s v="高色牢度底拉毛肌理牛仔"/>
        <s v="全棉高色牢度活性藏青色"/>
        <s v="全棉细斜纹牛仔B"/>
        <s v="255G棉涤拉架双条提花罗纹布印银粉"/>
        <s v="全棉色织男日常必备织格子"/>
        <s v="超柔绒（加厚版）日常必备色织格"/>
        <s v="无弹高色牢度牛仔"/>
        <s v="超柔绒（加厚版）织326男中色织格"/>
        <s v="TR色织格织黑白格"/>
        <s v="牛仔色织中浅蓝色织格"/>
        <s v="300G棉魔法纱卫衣"/>
        <s v="40D棉感微皱尼龙布烫膜"/>
        <s v="反光面料"/>
        <s v="360G四面弹空气层"/>
        <s v="消光桃皮绒贴膜（recycle)印渐变"/>
        <s v="消光桃皮绒贴膜（recycle）印奥特曼"/>
        <s v="全棉粗纹花牛仔"/>
        <s v="200g无羽双纱"/>
        <s v="160g棉超级纤维单面印渐变"/>
        <s v="230g无羽双纱平纹色织条纹"/>
        <s v="重磅棉盖超级纤维"/>
        <s v="230g无羽双纱平纹"/>
        <s v="275G棉超级纤维双面拉架布（普通版本）印渐变"/>
        <s v="275g坑条卫衣"/>
        <s v="265g棉魔法纱卫衣水感印花"/>
        <s v="275G棉超级纤维双面拉架布（单向导湿版）"/>
        <s v="310g棉涤卫衣-成衣染色底布"/>
        <s v="棉莱赛尔彩色牛仔（中厚）冷转移深浅灰色迷彩"/>
        <s v="尼龙四面弹（台华）"/>
        <s v="25D亲肤尼（2024版本）对贴云梯花型"/>
        <s v="330g双刷双摇摇粒绒"/>
        <s v="285G棉涤五明治（磨毛）"/>
        <s v="250G拉架双面布表刷毛"/>
        <s v="棉感锦纶四面弹"/>
        <s v="风壳斜纹贴膜印格纹（Recycle）"/>
        <s v="TR斜纹仿呢料加厚版格纹"/>
        <s v="微弹高色牢度斜纹肌理牛仔(加密版）"/>
        <s v="310G棉涤提花双面布"/>
        <s v="290g磨毛五明治"/>
        <s v="32S/2 60%抗起毛球腈纶35%尼龙5%羊毛"/>
        <s v="48S/2 44.8%锦纶28.1%腈纶17.9%聚酯纤维9.2%羊毛"/>
        <s v="2/50NM 30%精棉 28%PBT 42%优可丝"/>
        <s v="215g镂空提花罗纹"/>
        <s v="195G1*1超柔拉架罗纹"/>
        <s v="NTC混纺提花"/>
        <s v="棉莫泡泡布"/>
        <s v="平纹超柔绒"/>
        <s v="全涤剪花泡泡布"/>
        <s v="215g镂空提花罗纹印波点"/>
        <s v="单丝方格提花衬衫"/>
        <s v="运动平纹四面弹（吸湿速干）"/>
        <s v="21W空气层灯芯绒"/>
        <s v="低弹彩色细斜纹牛仔"/>
        <s v="290g棉涤拉架提花双面"/>
        <s v="色织格小提花(取消提点）"/>
        <s v="消光桃皮绒贴膜（recycle)"/>
        <s v="275G涤棉氨纶提花三明治-吸湿速干"/>
        <s v="280G涤棉间条布"/>
        <s v="300g棉莫拉架罗马布"/>
        <s v="210G波纹提花双刷单摇抗静电"/>
        <s v="280G涤粘棉弹双面布"/>
        <s v="75D加密平纹四面弹"/>
        <s v="180g棉超级纤维单面2.0（凉茶速干抗菌）防泼水版"/>
        <s v="莫代尔晴纶平纹单面色织间条"/>
        <s v="羊毛打底"/>
        <s v="170G涤氨高弹双面布"/>
        <s v="135G轻空棉（超级纤维版本）"/>
        <s v="105G经编超轻毛羽绒"/>
        <s v="275G棉超级纤维双面拉架布（单向导湿版）彩色满印"/>
        <s v="160g经编锦氨"/>
        <s v="175G轻空棉（尼龙凉感版本）"/>
        <s v="210G方格经编复合飘纱"/>
        <s v="消光尼龙四面弹登山布防泼水版"/>
        <s v="风壳2.0舒弹版贴膜（纬弹版）彩色满印"/>
        <s v="风壳贴膜(Recycle)彩色满印"/>
        <s v="全涤消光弹丝小牛津（运动科技）"/>
        <s v="竖条QQ尼"/>
        <s v="棉感涤四面弹斜纹"/>
        <s v="T800直条经编复合"/>
        <s v="300G涤棉粘胶提花双面五明治"/>
        <s v="300G涤纶回子格复合格子"/>
        <s v="涤氨网眼"/>
        <s v="180g棉超级纤维单面2.0（凉茶速干抗菌）印条纹印花"/>
        <s v="190G轻空棉双面提花"/>
        <s v="275G棉超级纤维双面拉架布（单向导湿版） 印晕染印花"/>
        <s v="涤氨网眼印6B城市户外渐变"/>
        <s v="风壳贴膜(Recycle)"/>
        <s v="风壳2.0舒弹版贴膜"/>
        <s v="7040消光空包无捻平纹四面弹"/>
        <s v="300G经编锦氨复合涤氨拉绒布"/>
        <s v="240G涤氨高弹磨毛（吸湿速干）双面布"/>
        <s v="织造双层全涤九宫格"/>
        <s v="轻薄雾境纹（N66）"/>
        <s v="微弹力高色牢度肌理牛仔反面印老花"/>
        <s v="2/48Nm 35%羊毛(70S）65%精梳棉 可机洗"/>
        <s v="2/48NM  60%棉30%尼龙10%羊毛(66S）"/>
        <s v="250g棉涤仿色织双色左斜"/>
        <s v="133g全棉色织格"/>
        <s v="180g棉超级纤维单面2.0（凉茶速干抗菌）咖绿条纹"/>
        <s v="精致六眼珠地印小花"/>
        <s v="310g 提花五名治"/>
        <s v="320g魔法纱竖条提花"/>
        <s v="仿牛仔双面"/>
        <s v="290g棉弹力磨毛双层左斜"/>
        <s v="易打理TR细斜纹"/>
        <s v="全棉高色牢度军绿牛仔"/>
        <s v="棉混纺活性深咖啡仿牛仔"/>
        <s v="微弹力高色牢度肌理牛仔"/>
        <s v="285g色织粗斜防呢料"/>
        <s v="小香点人字"/>
        <s v="99g全棉色织净色"/>
        <s v="99g全棉色织织酒红格"/>
        <s v="亮丝风衣"/>
        <s v="黑白粉小香风"/>
        <s v="290g磨毛五明治(不磨毛版布）烫闪粉"/>
        <s v="1/4Nm 14%羊毛81%腈纶5%聚酯纤维"/>
        <s v="2/45Nm 54%涤纶 20%晴纶 20%尼龙 6%羊毛"/>
        <s v="2/36Nm 60%再生涤纶35%腈纶5%羊毛 并纱"/>
        <s v="138g竹纤维府绸"/>
        <s v="天丝棉高密府绸"/>
        <s v="280g移圈提花-萌芯初绽"/>
        <s v="195G1*1超柔拉架罗纹印银波点"/>
        <s v="40S/2 100%精梳棉(环锭纺)"/>
        <s v="TR色织人字纹格植绒"/>
        <s v="加密小菱形网纱"/>
        <s v="全棉黑色高度色牢度斜纹牛仔印白色圆点"/>
        <s v="270G1*1拉架罗纹表刷毛（不刷毛）"/>
        <s v="超级纤维海绵牛仔"/>
        <s v="柔弹细斜纹竹节牛仔（黑经黑纬）"/>
        <s v="260gTR弹力平纹"/>
        <s v="中弹银丝牛仔（蓝加黑）"/>
        <s v="黑色海绵牛仔"/>
        <s v="金色小香"/>
        <s v="2/28Nm 50%巴素兰羊毛(66S）50%腈纶(可机洗)"/>
        <s v="1/10Nm 60%羊绒 39%白厂丝 1%珠片"/>
        <s v="仿蛋白皮PU"/>
        <s v="单丝醋酸皱"/>
        <s v="190g全衬1*1罗纹烫闪粉"/>
        <s v="190g全衬1*1罗纹印晕染烫闪粉"/>
        <s v="230g天丝羊毛罗纹"/>
        <s v="TR提花格"/>
        <s v="小菱形网纱涤纶版烫膜小圆点"/>
        <s v="全棉粗纹花牛仔（黑经黑纬）"/>
        <s v="锦纶加强"/>
        <s v="斜纹锻布"/>
        <s v="中弹黑色海绵斜纹肌理牛仔"/>
        <s v="锦纶六角网纱"/>
        <s v="亮光硬网纱"/>
        <s v="织锦缎金丝提花"/>
        <s v="缎面大提花"/>
        <s v="全棉竹节牛仔B"/>
        <s v="全棉大花卉提花牛仔"/>
        <s v="钻石雪纺（麦蕾）印国风小兔子"/>
        <s v="170g抽针棉拉架平纹布"/>
        <s v="200g莫代尔随心裁罗纹"/>
        <s v="200g莫代尔醋酸移圈提花（薰衣草味）"/>
        <s v="200g莫代尔醋酸移圈提花（薰衣草味）印小熊薰衣草"/>
        <s v="150g棉氨单面拉架"/>
        <s v="170G超柔拉架单面布（棉莫）"/>
        <s v="200g安泰贝变化抽针罗纹"/>
        <s v="170g棉莱赛尔拉架单面50/50"/>
        <s v="195G零碳莫代尔抽针拉架罗纹"/>
        <s v="200g棉莫磨毛单面布印黄绿色可爱小熊"/>
        <s v="200g棉莫磨毛单面布印粉色梦幻渐变"/>
        <s v="竹棉贡缎印软萌甜美美乐蒂"/>
        <s v="130g高弹锦氨双面布（25Q2新）吸湿速干"/>
        <s v="150g棉莫超柔拉架单面布"/>
        <s v="60S/20D莫代尔抽针竖条纹"/>
        <s v="170G棉氨平纹布HOME"/>
        <s v="180G莫代尔拉架平纹布HOME（30D）"/>
        <s v="200g棉莫磨毛单面布"/>
        <s v="200g棉莫磨毛单面布印深浅咖趣味小马"/>
        <s v="竹棉贡缎印深蓝色细条猫和老鼠"/>
        <s v="150g棉氨单面拉架印飞机条纹"/>
        <s v="150g棉氨单面拉架印密集星星萌宠"/>
        <s v="170G超柔拉架单面布（棉莫）印美味小饼干"/>
        <s v="170G超柔拉架单面布（棉莫）色织条纹"/>
        <s v="230G舒绒色织两色宽条"/>
        <s v="460G半边绒复合珊瑚绒抗静电"/>
        <s v="230G舒绒"/>
        <s v="250G舒绒(HOME正面磨毛 反面不磨毛)色织细条"/>
        <s v="170G棉氨平纹布HOME印小可爱"/>
        <s v="300g双面珊瑚绒"/>
        <s v="200G变化抽针罗纹布"/>
        <s v="32S双股+纳米易去污"/>
        <s v="32S全棉双股"/>
        <s v="40D天鹅绒（5A抗菌）"/>
        <s v="32S全棉单股+纳米易去污"/>
        <s v="32S全棉双股+纳米易去污"/>
        <s v="32S全棉双股（点子纱）"/>
        <s v="32S全棉单股-新疆棉"/>
        <s v="32S全棉单股-新疆棉+点胶"/>
        <s v="32S全棉单股"/>
        <s v="32S全棉双股+点胶"/>
        <s v="32S全棉双股-(新疆棉)"/>
        <s v="32S全棉双股+薰衣草花香"/>
        <s v="90D天鹅绒-平板+爱心提花_x000a_       （5A抗菌）"/>
        <s v="32S双股7A吸湿速干棉"/>
        <s v="32S全棉双股+点子纱"/>
        <s v="32S全棉双股+甜点香味"/>
        <s v="40s双股98棉"/>
        <s v="涤纶"/>
        <s v="PU"/>
        <s v="潜水料"/>
        <s v="灯芯绒"/>
        <s v="纱卡"/>
        <s v="仿牛仔"/>
        <s v="斜纹纱卡"/>
        <s v="水洗纱卡"/>
        <s v="尼龙"/>
        <s v="其他"/>
        <s v="316L不锈钢"/>
        <s v="织物"/>
        <s v="合成材料"/>
        <s v="织物+合成材料"/>
      </sharedItems>
    </cacheField>
    <cacheField name="里料材质" numFmtId="0">
      <sharedItems count="10">
        <s v=""/>
        <s v="无"/>
        <e v="#N/A"/>
        <s v="布里"/>
        <s v="合成材料"/>
        <s v="网布"/>
        <s v="网布+合成材料"/>
        <s v="10MM长毛绒"/>
        <s v="15mm长毛绒"/>
        <s v="短毛绒"/>
      </sharedItems>
    </cacheField>
    <cacheField name="面料编号" numFmtId="0">
      <sharedItems containsString="0" containsBlank="1" containsNonDate="0" count="1">
        <m/>
      </sharedItems>
    </cacheField>
    <cacheField name="FAB" numFmtId="0">
      <sharedItems containsBlank="1" count="54">
        <s v=""/>
        <s v="1. 面料名称： 21W全棉灯芯绒  2. 版型：标准型 3. 工艺： 4. 颜色： 白色调00411、绿色调00444 5. 辅料：小巴绣花章 6. 设计：撞色翻领、袖口翻折格纹、工装口袋"/>
        <s v="1. 面料名称：75D星点提花布烫膜  2. 版型：标准型 3. 工艺：无 4. 颜色： 冰蓝A815105. 辅料： 6. 设计：甜美花瓣领型、精致小巴绣花、A型下摆拼接荷叶边"/>
        <s v="1. 面料名称：260G棉拉架提花双面 2. 版型：标准型 3. 工艺：无 4. 颜色：绿色调00344 5. 辅料： 小巴仿贝壳标6. 设计：仿花呢印花、精致装饰织带"/>
        <s v="1. 面料名称： 28S/2 60%精梳棉40%腈纶（膨体）  2. 版型：标准型 3. 工艺：提花 4. 颜色：绿色调00444 5. 辅料：皮标 6. 设计：实穿开襟马甲、全身精致提花"/>
        <s v="1. 面料名称：28S/2 60%精梳棉40%腈纶（膨体） 2. 版型： 标准型 3. 工艺： 4. 颜色：冰蓝A81510  5. 辅料：精致纽扣 6. 设计：精致锁边绣、精致花朵绣花、甜美小飞袖"/>
        <s v="1. 面料名称：32S/2 75%棉25%涤纶（超级纤维) 2. 版型：标准型 3. 工艺： 4. 颜色：浅卡其50335 、白绿色调00414 5. 辅料：皮标 6. 设计：A色 门襟下摆精致绞花、B色 全身小巴提花设计"/>
        <s v="1. 面料名称：32S/2 50%棉30%优可丝20%莱赛尔 2. 版型：标准型 3. 工艺： 4. 颜色：米白10302 5. 辅料：精致纽扣 6. 设计：领圈精致绣花、下摆甜美网纱拼接"/>
        <s v="1. 面料名称：32S/2 50%棉30%优可丝20%莱赛尔 2. 版型：标准型 3. 工艺：手工钩花 4. 颜色：冰蓝A81510 5. 辅料：树脂扣 6. 设计：精致手工钩花、实穿开襟版型"/>
        <s v="1. 面料名称：250G云感单面表刷毛 2. 版型：标准 3. 工艺： 4. 颜色：本白10101 5. 辅料：皮标 6. 设计：精致领绣花、装饰领结、舒适百搭针织衬衫"/>
        <s v="1. 面料名称：195G呼吸棉 2. 版型：标准型 3. 工艺： 4. 颜色： 本白10101, 白绿色调00314 5. 辅料： 装饰领结6. 设计：A色装饰领结、小巴印花口袋；B色小巴全身印花"/>
        <s v="1. 面料名称：235G真窿抽针提花罗文、 小菱形网纱 2. 版型： 标准型 3. 工艺： 4. 颜色：本白10101 5. 辅料：巴拉仿贝壳标、网纱翅膀 6. 设计：拼接网纱假两件、甜美多层网纱"/>
        <s v="1. 面料名称： 190G纯棉双面提花楼梯格 2. 版型：标准型 3. 工艺： 4. 颜色： 白绿色调00314 5. 辅料：花边织带 6. 设计：甜美娃娃领、舒适A型下摆、荷叶边袖口"/>
        <s v="1. 面料名称：220移圈浮雕提花 2. 版型：标准型 3. 工艺： 4. 颜色： 本白10101 5. 辅料： 6. 设计：精致绣花花边领、荷叶边袖口"/>
        <s v="1. 面料名称：A色棉莫方格提花色织布小巴金格纹、B色竹棉回型格双层纱布-小巴金散点印花 2. 版型：标准型 3. 工艺：无4. 颜色： 5. 辅料：树脂四眼扣 6. 设计：精致领结、小巴印花"/>
        <s v="1. 面料名称：40S全棉纱罗提花布 2. 版型：标准型 3. 工艺：司马克 4. 颜色：本白10101、白咖色调00315 5. 辅料：精致纽扣 6. 设计：甜美花边领、精致撞色司马克"/>
        <s v="1. 面料名称：竹棉回型格双层纱布 2. 版型：标准型 3. 工艺：无 4. 颜色：白绿色调00314 5. 辅料：仿贝蝴蝶结装饰标 6. 设计：甜美装饰荷叶边"/>
        <s v="1. 面料名称：上衣-260G棉拉架提花双面、背带裤- TR人字纹色织布起毛 2. 版型：标准型 3. 工艺：背带调节扣 4. 颜色：白咖色调00315  5. 辅料：包布扣 6. 设计：衬衫精致打褶、装饰领结、可调节肩带背带裤"/>
        <s v="1. 面料名称： 2. 版型： 3. 工艺： 4. 颜色： 5. 辅料： 6. 设计："/>
        <s v="1. 面料名称：T恤195G1*1拉架罗纹表刷毛、背带裙  雪尼尔盘带绣花朵+20D锦瑞士网加密绣切割蓬蓬纱 2. 版型：标准型 3. 工艺：无 4. 颜色：白色调00311 5. 辅料：无 6. 设计：袖口甜美荷叶边、精致蓬蓬纱裙、盘带绣花朵面料"/>
        <s v="1. 面料名称：色织仿牛仔 2. 版型：标准型 3. 工艺：松紧腰、两用裆 4. 颜色：土灰绿40961 5. 辅料：皮标 6. 设计：弧线形分割"/>
        <s v="1. 面料名称： 245G珠地夹层双面布 2. 版型： 标准型 3. 工艺：松紧腰、两用裆 4. 颜色：米白10302 、浅驼50008 5. 辅料：小章鱼绣花章 6. 设计：实穿版型、装饰翻折脚口、撞色车缝线"/>
        <s v="1. 面料名称： 21W全棉灯芯绒 2. 版型：微宽松 3. 工艺：松紧腰、两用裆 4. 颜色： 咖啡50855  5. 辅料：无 6. 设计：腰头脚口荷叶边装饰、蝴蝶结造型口袋、精致绣花"/>
        <s v="1. 面料名称： 220G纯棉双面提花 2. 版型：标准型 3. 工艺：松紧腰、两用裆 4. 颜色：米白10302 5. 辅料： 蝴蝶结花章 6. 设计：甜美蝴蝶结绣花章、实穿罗纹脚口"/>
        <s v="1. 面料名称：235G真窿抽针提花罗文 2. 版型：修身型 3. 工艺：松紧腰 4. 颜色：米白10302  5. 辅料：仿贝刻爱心牌 6. 设计：裤侧装饰印花、脚口精致花边"/>
        <s v="1. 面料名称：小菱形网纱+  195G1*1拉架罗纹表刷毛 2. 版型：修身型 3. 工艺：松紧腰 4. 颜色：白黄色调00313 5. 辅料： 仿贝刻爱心牌6. 设计：甜美荷叶边装饰网纱裙、实穿假两件"/>
        <s v="1. 面料名称：袖子200G全棉双面布、大身 TR人字纹色织布 2. 版型：标准型 3. 工艺：无 4. 颜色：白绿色调00314  5. 辅料：小章鱼仿贝壳标 6. 设计：甜美棉质蕾丝领、A型荷叶边下摆"/>
        <s v="1. 面料名称：280G棉粘拉架提花双面布  2. 版型：标准型 3. 工艺：司马克  4. 颜色：白色调00311  5. 辅料：小章鱼仿贝壳标 6. 设计：甜美蕾丝花边领、A型网纱裙、精致司马克"/>
        <s v="1. 面料名称： 领-195G呼吸棉；上衣-TR人字纹色织布；裤子-240G棉涤提花双面 2. 版型：标准 3. 工艺： 4. 颜色： 白咖色调00415 5. 辅料：树脂扣 、领结 6. 设计：经典西装翻领、拼色假两件"/>
        <s v="1. 面料名称：连体衣- 210G棉氨链条提花布；外件吊带：195G呼吸棉+亮光加强网纱 2. 版型：标准 3. 工艺： 4. 颜色：绿色调00444 5. 辅料： 6. 设计：两件套设计、甜美网纱吊带、娃娃领"/>
        <s v="1. 面料名称：220G2*2拉架罗纹 2. 版型：标准 3. 工艺： 4. 颜色： 梦幻粉60356 5. 辅料：蝴蝶结织带 6. 设计：甜美芭蕾风、网纱裙摆、领口烫印蝴蝶结"/>
        <s v="1. 面料名称：280G棉粘拉架提花双面布+小菱形网纱 2. 版型：标准 3. 工艺： 4. 颜色： 本白10101 5. 辅料：丝绒蝴蝶结、花边织带 6. 设计：甜美娃娃领、网纱裙摆、精致蝴蝶结蕾丝花边装饰"/>
        <s v="1. 面料名称： 300g暖宝宝双面 2. 版型：标准型 3. 工艺： 4. 颜色： 5. 辅料： 6. 设计："/>
        <s v="1. 面料名称： 32S/2 75%棉25%涤纶（超级纤维) 2. 版型：标准型 3. 工艺：无 4. 颜色： 浅卡其50307, 淡黄31401, 白红色调00416 5. 辅料：绣花章、树脂纽扣 6. 设计：实穿开衫、可爱绣花章装饰"/>
        <s v="1. 面料名称：420T尼丝纺（三防） 2. 版型：宽松型 3. 工艺：两层做法4. 颜色：粉蓝80013, 黄色调00333 5. 辅料：立体充棉章 6. 设计：A色棒球领型、B色可爱娃娃领，趣味充棉章装饰"/>
        <s v="1. 面料名称：420T尼丝纺（三防） 2. 版型：宽松型 3. 工艺：两层做法 4. 颜色：  冰蓝80932, 粉红60005, 黄绿411225. 辅料： 小狗、小兔子立体充棉状6. 设计：拼色设计、可爱充棉章装饰、趣味绗线设计"/>
        <s v="1.面料名称：195G1*1拉架罗纹表刷毛。2.版型：高腰护肚裤版型。3.工艺：四针六线拼缝。4.颜色：白黄色调，绿色调。5.辅料：无。6.设计：柔和色彩。"/>
        <s v="1.面料名称：195G1*1拉架罗纹表刷毛。2.版型：标准前开版型。3.工艺：四针六线拼缝。4.颜色：黄色调，绿色调，白黄色调。5.辅料：14L树脂四合扣6.设计：趣味满印+趣味大图。"/>
        <s v="1.面料名称：140G柔皮棉单面布。2.版型：区分大小码，小码标准双层护肚版型，大码侧开扣版型。3.工艺：四针六线拼缝。4.颜色：白色调，白黄色调。5.辅料：14L树脂四合扣，小码新生儿绑带，领口织带口。6.设计：简洁满印，简洁印花图案。"/>
        <s v="1.面料名称：195G1*1拉架罗纹表刷毛。2.版型：标准版型。3.工艺：四线拼缝。4.颜色：白黄色调，白色调，白绿色调。5.辅料：无。6.设计：简洁满印，简洁小造型。"/>
        <s v="1.面料名称：195G1*1拉架罗纹表刷毛。2.版型：标准版型。3.工艺：可调节扣位。4.颜色：黄色调，白色调，白绿色调。5.辅料：14L树脂四合扣。6.设计：简洁满印，简洁小造型。"/>
        <s v="1.面料名称：195G1*1拉架罗纹表刷毛。2.版型：标准版型。3.工艺：四针六线拼缝。4.颜色：白黄色调，绿色调。5.辅料：14L树脂四合扣。6.设计：简洁满印，简洁前胸印花"/>
        <s v="1.面料名称：140G柔皮棉单面布。2.版型：标准双层护肚版型。3.工艺：四针六线拼缝。4.颜色：白色调，白黄色调。5.辅料：14L树脂四合扣，新生儿绑带。6.设计：简洁满印，简洁前胸印花"/>
        <s v="1.面料名称：195G1*1拉架罗纹表刷毛。2.版型：标准版型。3.工艺：四针六线拼缝（脚口/袖口/腰头除外）。4.颜色：黄色调，绿色调。5.辅料：14L树脂四合扣。6.设计：简洁满印，简洁前胸印花"/>
        <e v="#N/A"/>
        <s v="&quot;1.面料：大身优质精梳棉面料，内里7A洋柔棉抗菌，功能：水洗150次仍然有效抑制黄金色葡萄球菌、大肠杆菌、  白色念珠菌 2.通过A类安心检测：无甲醛、无重金属、无荧光，环保印染 3.版型：优化下摆橡筋，轻薄不勒更舒适 4.白色基础色，好穿又百搭&quot;"/>
        <s v="&quot;1.面料：吸湿速干高弹随心裁面料，汗一出来就排走了，体育课也不闷汗 2.二阶段氧气洞洞杯3.0，100+透气孔，中心厚度仅0.47cm；边缘薄至小于0.1cm，两点固定杯垫，机洗不变形不跑位 3..二阶段前胸立体压膜，给足发育空间，不压胸 4.侧长降低0.6cm，更好适用不同场景下穿搭需求，抬手不易漏 5.高温压胶工艺，无感拼接穿衣不留痕&quot;"/>
        <s v="&quot;1.面料：吸湿速干高弹随心裁面料，汗一出来就排走了，体育课也不闷汗 2.一阶段专研文胸垫片，厚度仅0.1cm，全固定杯垫，机洗不变形不跑位 3.侧长降低0.6cm，更好适用不同场景下穿搭需求，抬手不易漏 4.高温压胶工艺，无感拼接穿衣不留痕&quot;"/>
        <s v="&quot;主卖点：纳米易去污学生袜，巴拉科技系列，小白袜设计，时尚百搭，更舒适，更易清洗，弄脏也不怕。_x000a_次卖点：_x000a_材质：选用巴拉高档精梳棉结合纳米易去污科技，使袜子亲水易清洗。紧密纺技术让纱线毛羽少、强力高、表面光洁，抗起球、耐磨，搭配莱卡弹力氨纶，高回弹、舒适、不易变形。双股厚度，适合春季。_x000a_工艺：无骨缝头，无凸起感，不磨脚，亲和脚部肌肤。_x000a_版型：3D立体包根，不易脱跟；过脚踝设计，保护脚踝，可搭配运动鞋、板鞋等。_x000a_设计：经典小白袜，永不过时，适合上学、出行，满足多种穿搭需求，多组购买更实惠。&quot;"/>
        <s v="&quot;主卖点：学院风中筒袜。经典的学院风黑白杠条学生袜，日常百搭必备经典款。_x000a_次卖点：_x000a_材质：采用巴拉高档精梳棉，紧密赛纺技术让纱线毛羽少、强力高、表面光洁，抗起球、耐磨，搭配莱卡弹力氨纶，高回弹、舒适且不易变形。单股厚度，适合春季穿着。_x000a_工艺：无骨手工缝头，无凸起感，利于成长发育；梯形板定型工艺，袜筒贴合腿型，不勒腿。_x000a_版型：中筒高度，满足多种穿搭需求。_x000a_设计：经典黑白色搭配杠条提花，开学、活动或日常穿着都超合适。&quot;"/>
        <s v="&quot;主卖点：5A抗菌天鹅绒连裤袜，日常百搭必备，持续抗菌守护。_x000a_次卖点：_x000a_材质：精选40D天鹅绒，亲肤柔软透气，细腻如牛奶，对宝宝皮肤友好。搭配5A抗菌技术，守护宝宝肌肤。高密精工技术，远超普通标准，超高回弹性，穿着舒适不紧绷，360°高弹拉扯不变形。_x000a_工艺：拼档裆处二次拼缝，牢固不易破；加宽高弹腰部，不勒小肚子。袜底防滑肌理设计，提供专业保护，更耐穿。_x000a_版型：U型裆加深，告别掉裆，连裤袜款式，是跳舞及公主裙的完美伴侣。_x000a_设计：经典白色百搭款式，是穿裙子和练习舞蹈的小朋友的必备选择。&quot;"/>
        <s v="&quot;主卖点：甜系蝴蝶结短袜，甜美文艺，瞬间提升女孩穿搭气质。立体缎带蝴蝶结搭配木耳边和经典色调，甜美又文艺。_x000a_次卖点：_x000a_材质：选用巴拉高档精梳棉，紧密赛络纺技术让纱线毛羽少、强力高、表面光洁，抗起球、耐磨，搭配弹力氨纶，高回弹、舒适、不易变形，双股厚度，适合春季。_x000a_工艺：无骨缝头，无凸起感，不磨脚；梯形板定型，袜筒贴合腿型，不勒腿；3D立体足跟，不易掉袜。_x000a_版型：及小腿袜高，时尚甜美，满足多种穿搭需求。_x000a_设计：百搭大身色，袜口蝴蝶结搭配细腻肌理，质感满满，是甜系女孩的必备单品&quot;"/>
        <s v="&quot;主卖点：甜美花边中筒袜，立体花边设计，打造精致芭蕾甜美风，瞬间提升精致甜美质感。_x000a_次卖点：_x000a_材质：选用巴拉高档精梳棉，紧密赛络纺技术使纱线毛羽少、强力高、表面光洁，具有优质抗起球性和耐磨性。搭配弹力氨纶，高回弹、穿着舒适、不易变形。_x000a_工艺：无骨缝头，无凸起感，不磨脚，利于成长发育；梯形板定型，袜筒贴合腿型，不勒腿；3D立体足跟，不易掉袜。_x000a_版型：膝盖下中筒高度，满足多种穿搭需求，时尚又实用。_x000a_设计：甜美机理织法，高弹且细腻，凸显质感。百搭大身色搭配立体网纱花边，仙气十足，是精致女孩的必备单品。&quot;"/>
        <m/>
      </sharedItems>
    </cacheField>
    <cacheField name="上市批次" numFmtId="0">
      <sharedItems containsBlank="1" containsNumber="1" containsInteger="1" containsMixedTypes="1" count="10">
        <n v="3"/>
        <n v="5"/>
        <n v="4"/>
        <n v="6"/>
        <n v="7"/>
        <n v="8"/>
        <m/>
        <n v="10"/>
        <s v="0批"/>
        <n v="9"/>
      </sharedItems>
    </cacheField>
    <cacheField name="上市时间" numFmtId="177">
      <sharedItems containsString="0" containsBlank="1" containsNonDate="0" containsDate="1" minDate="2026-05-29T00:00:00" maxDate="2026-08-21T00:00:00" count="10">
        <d v="2026-07-03T00:00:00"/>
        <d v="2026-07-17T00:00:00"/>
        <d v="2026-07-10T00:00:00"/>
        <d v="2026-07-24T00:00:00"/>
        <d v="2026-07-31T00:00:00"/>
        <d v="2026-08-07T00:00:00"/>
        <m/>
        <d v="2026-08-21T00:00:00"/>
        <d v="2026-05-29T00:00:00"/>
        <d v="2026-08-14T00:00:00"/>
      </sharedItems>
    </cacheField>
    <cacheField name="上市A价" numFmtId="0">
      <sharedItems containsString="0" containsBlank="1" containsNonDate="0" count="1">
        <m/>
      </sharedItems>
    </cacheField>
    <cacheField name="A价折扣" numFmtId="0">
      <sharedItems containsString="0" containsBlank="1" containsNonDate="0" count="1">
        <m/>
      </sharedItems>
    </cacheField>
    <cacheField name="上市S价" numFmtId="0">
      <sharedItems containsString="0" containsBlank="1" containsNonDate="0" count="1">
        <m/>
      </sharedItems>
    </cacheField>
    <cacheField name="S价折扣" numFmtId="0">
      <sharedItems containsString="0" containsBlank="1" containsNonDate="0" count="1">
        <m/>
      </sharedItems>
    </cacheField>
    <cacheField name="货品层级" numFmtId="0">
      <sharedItems containsBlank="1" containsNumber="1" containsInteger="1" containsMixedTypes="1" count="7">
        <s v="B"/>
        <s v="C"/>
        <s v="A"/>
        <s v="S"/>
        <n v="0"/>
        <s v="D"/>
        <m/>
      </sharedItems>
    </cacheField>
    <cacheField name="入仓备注" numFmtId="0">
      <sharedItems containsBlank="1" count="3">
        <s v="入温州总仓备货"/>
        <m/>
        <s v="袜子入电商仓"/>
      </sharedItems>
    </cacheField>
    <cacheField name="入仓SKC" numFmtId="0">
      <sharedItems containsString="0" containsBlank="1" containsNumber="1" containsInteger="1" minValue="0" maxValue="1" count="3">
        <n v="1"/>
        <n v="0"/>
        <m/>
      </sharedItems>
    </cacheField>
    <cacheField name="柔供备注" numFmtId="0">
      <sharedItems containsBlank="1" count="4">
        <s v="线下总仓备货"/>
        <m/>
        <s v="电商追单"/>
        <s v="门店发货"/>
      </sharedItems>
    </cacheField>
    <cacheField name="柔供量" numFmtId="0">
      <sharedItems containsSemiMixedTypes="0" containsString="0" containsNumber="1" containsInteger="1" minValue="0" maxValue="7100" count="55">
        <n v="400"/>
        <n v="0"/>
        <n v="850"/>
        <n v="450"/>
        <n v="1150"/>
        <n v="750"/>
        <n v="1420"/>
        <n v="1240"/>
        <n v="550"/>
        <n v="1050"/>
        <n v="100"/>
        <n v="250"/>
        <n v="1100"/>
        <n v="1500"/>
        <n v="1000"/>
        <n v="650"/>
        <n v="150"/>
        <n v="350"/>
        <n v="700"/>
        <n v="800"/>
        <n v="200"/>
        <n v="520"/>
        <n v="50"/>
        <n v="900"/>
        <n v="500"/>
        <n v="1200"/>
        <n v="1040"/>
        <n v="740"/>
        <n v="300"/>
        <n v="420"/>
        <n v="620"/>
        <n v="1300"/>
        <n v="2450"/>
        <n v="2550"/>
        <n v="5000"/>
        <n v="1550"/>
        <n v="600"/>
        <n v="3100"/>
        <n v="2200"/>
        <n v="2300"/>
        <n v="3200"/>
        <n v="4000"/>
        <n v="2000"/>
        <n v="3000"/>
        <n v="1800"/>
        <n v="2800"/>
        <n v="7100"/>
        <n v="5800"/>
        <n v="2700"/>
        <n v="1400"/>
        <n v="80"/>
        <n v="120"/>
        <n v="170"/>
        <n v="130"/>
        <n v="30"/>
      </sharedItems>
    </cacheField>
    <cacheField name="柔供市值" numFmtId="0">
      <sharedItems containsSemiMixedTypes="0" containsString="0" containsNumber="1" containsInteger="1" minValue="0" maxValue="1206290" count="240">
        <n v="95600"/>
        <n v="0"/>
        <n v="169150"/>
        <n v="107550"/>
        <n v="309350"/>
        <n v="269250"/>
        <n v="381980"/>
        <n v="333560"/>
        <n v="65450"/>
        <n v="124950"/>
        <n v="19900"/>
        <n v="34750"/>
        <n v="47600"/>
        <n v="103950"/>
        <n v="108900"/>
        <n v="118500"/>
        <n v="104250"/>
        <n v="119000"/>
        <n v="109850"/>
        <n v="17850"/>
        <n v="48650"/>
        <n v="45900"/>
        <n v="167300"/>
        <n v="191200"/>
        <n v="92950"/>
        <n v="33800"/>
        <n v="87880"/>
        <n v="9950"/>
        <n v="9900"/>
        <n v="27650"/>
        <n v="71100"/>
        <n v="23900"/>
        <n v="53800"/>
        <n v="26900"/>
        <n v="99500"/>
        <n v="79600"/>
        <n v="39800"/>
        <n v="29900"/>
        <n v="139000"/>
        <n v="16900"/>
        <n v="40350"/>
        <n v="53550"/>
        <n v="41650"/>
        <n v="42250"/>
        <n v="13900"/>
        <n v="47800"/>
        <n v="11900"/>
        <n v="35900"/>
        <n v="14950"/>
        <n v="143880"/>
        <n v="124696"/>
        <n v="88726"/>
        <n v="34965"/>
        <n v="29970"/>
        <n v="79920"/>
        <n v="39960"/>
        <n v="49950"/>
        <n v="179950"/>
        <n v="159960"/>
        <n v="119970"/>
        <n v="26990"/>
        <n v="53980"/>
        <n v="33980"/>
        <n v="25485"/>
        <n v="23980"/>
        <n v="95200"/>
        <n v="83300"/>
        <n v="41700"/>
        <n v="27800"/>
        <n v="35700"/>
        <n v="59700"/>
        <n v="11800"/>
        <n v="59500"/>
        <n v="109450"/>
        <n v="112980"/>
        <n v="209300"/>
        <n v="319200"/>
        <n v="185380"/>
        <n v="269100"/>
        <n v="149500"/>
        <n v="134550"/>
        <n v="74975"/>
        <n v="209930"/>
        <n v="259935"/>
        <n v="119960"/>
        <n v="89970"/>
        <n v="67600"/>
        <n v="84950"/>
        <n v="67960"/>
        <n v="49900"/>
        <n v="349700"/>
        <n v="164450"/>
        <n v="147950"/>
        <n v="76450"/>
        <n v="97300"/>
        <n v="58380"/>
        <n v="291550"/>
        <n v="303450"/>
        <n v="89100"/>
        <n v="99000"/>
        <n v="495000"/>
        <n v="152900"/>
        <n v="130900"/>
        <n v="184450"/>
        <n v="55600"/>
        <n v="83400"/>
        <n v="59150"/>
        <n v="59940"/>
        <n v="119500"/>
        <n v="89550"/>
        <n v="76050"/>
        <n v="206960"/>
        <n v="202800"/>
        <n v="219700"/>
        <n v="523900"/>
        <n v="100380"/>
        <n v="437800"/>
        <n v="94150"/>
        <n v="321770"/>
        <n v="447680"/>
        <n v="159920"/>
        <n v="104925"/>
        <n v="41970"/>
        <n v="129935"/>
        <n v="15800"/>
        <n v="29700"/>
        <n v="24750"/>
        <n v="125100"/>
        <n v="69500"/>
        <n v="199000"/>
        <n v="39900"/>
        <n v="396000"/>
        <n v="101400"/>
        <n v="169000"/>
        <n v="278000"/>
        <n v="11950"/>
        <n v="718000"/>
        <n v="357000"/>
        <n v="238000"/>
        <n v="350870"/>
        <n v="269900"/>
        <n v="188930"/>
        <n v="107960"/>
        <n v="539820"/>
        <n v="959680"/>
        <n v="839720"/>
        <n v="467870"/>
        <n v="251930"/>
        <n v="215940"/>
        <n v="323910"/>
        <n v="359900"/>
        <n v="143960"/>
        <n v="1206290"/>
        <n v="339800"/>
        <n v="985420"/>
        <n v="458730"/>
        <n v="239900"/>
        <n v="95960"/>
        <n v="143940"/>
        <n v="239920"/>
        <n v="99950"/>
        <n v="119940"/>
        <n v="55960"/>
        <n v="69950"/>
        <n v="95920"/>
        <n v="119900"/>
        <n v="307780"/>
        <n v="139900"/>
        <n v="195860"/>
        <n v="97930"/>
        <n v="167880"/>
        <n v="28720"/>
        <n v="53850"/>
        <n v="358500"/>
        <n v="71700"/>
        <n v="239000"/>
        <n v="298500"/>
        <n v="178500"/>
        <n v="25350"/>
        <n v="35850"/>
        <n v="32280"/>
        <n v="40630"/>
        <n v="31070"/>
        <n v="107600"/>
        <n v="598500"/>
        <n v="219450"/>
        <n v="59750"/>
        <n v="29850"/>
        <n v="111200"/>
        <n v="13450"/>
        <n v="19950"/>
        <n v="137700"/>
        <n v="183600"/>
        <n v="91800"/>
        <n v="34950"/>
        <n v="24950"/>
        <n v="107700"/>
        <n v="71800"/>
        <n v="8450"/>
        <n v="79800"/>
        <n v="59970"/>
        <n v="29995"/>
        <n v="299900"/>
        <n v="17950"/>
        <n v="20850"/>
        <n v="50700"/>
        <n v="22950"/>
        <n v="7170"/>
        <n v="31600"/>
        <n v="8070"/>
        <n v="14970"/>
        <n v="23700"/>
        <n v="5900"/>
        <n v="19800"/>
        <n v="11850"/>
        <n v="49500"/>
        <n v="7900"/>
        <n v="23600"/>
        <n v="84500"/>
        <n v="118300"/>
        <n v="119400"/>
        <n v="338000"/>
        <n v="139300"/>
        <n v="9990"/>
        <n v="19980"/>
        <n v="16990"/>
        <n v="59000"/>
        <n v="59800"/>
        <n v="19120"/>
        <n v="44850"/>
        <n v="21520"/>
        <n v="359000"/>
        <n v="32900"/>
        <n v="16450"/>
        <n v="26320"/>
        <n v="55930"/>
        <n v="23920"/>
        <n v="69650"/>
        <n v="13770"/>
        <n v="159200"/>
      </sharedItems>
    </cacheField>
    <cacheField name="上市渠道" numFmtId="0">
      <sharedItems containsBlank="1" count="2">
        <s v="渠道共享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15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42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3:H10" firstHeaderRow="1" firstDataRow="2" firstDataCol="1" rowPageCount="1" colPageCount="1"/>
  <pivotFields count="68"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7">
        <item x="5"/>
        <item x="2"/>
        <item x="0"/>
        <item x="1"/>
        <item x="4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177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12">
        <item x="39"/>
        <item x="40"/>
        <item x="31"/>
        <item x="32"/>
        <item x="33"/>
        <item x="34"/>
        <item x="35"/>
        <item x="37"/>
        <item x="38"/>
        <item x="27"/>
        <item x="28"/>
        <item x="29"/>
        <item x="30"/>
        <item x="36"/>
        <item x="18"/>
        <item x="15"/>
        <item x="16"/>
        <item x="13"/>
        <item x="17"/>
        <item x="14"/>
        <item x="19"/>
        <item x="51"/>
        <item x="49"/>
        <item x="50"/>
        <item x="47"/>
        <item x="48"/>
        <item x="25"/>
        <item x="26"/>
        <item x="21"/>
        <item x="22"/>
        <item x="23"/>
        <item x="24"/>
        <item x="20"/>
        <item x="67"/>
        <item x="60"/>
        <item x="61"/>
        <item x="62"/>
        <item x="68"/>
        <item x="69"/>
        <item x="63"/>
        <item x="55"/>
        <item x="65"/>
        <item x="56"/>
        <item x="57"/>
        <item x="66"/>
        <item x="58"/>
        <item x="59"/>
        <item x="54"/>
        <item x="64"/>
        <item x="9"/>
        <item x="10"/>
        <item x="3"/>
        <item x="4"/>
        <item x="11"/>
        <item x="12"/>
        <item x="5"/>
        <item x="6"/>
        <item x="7"/>
        <item x="0"/>
        <item x="1"/>
        <item x="8"/>
        <item x="2"/>
        <item x="83"/>
        <item x="75"/>
        <item x="76"/>
        <item x="77"/>
        <item x="84"/>
        <item x="78"/>
        <item x="80"/>
        <item x="81"/>
        <item x="70"/>
        <item x="71"/>
        <item x="82"/>
        <item x="72"/>
        <item x="73"/>
        <item x="74"/>
        <item x="85"/>
        <item x="79"/>
        <item x="90"/>
        <item x="91"/>
        <item x="89"/>
        <item x="92"/>
        <item x="93"/>
        <item x="161"/>
        <item x="46"/>
        <item x="45"/>
        <item x="96"/>
        <item x="97"/>
        <item x="98"/>
        <item x="99"/>
        <item x="105"/>
        <item x="102"/>
        <item x="103"/>
        <item x="94"/>
        <item x="95"/>
        <item x="104"/>
        <item x="162"/>
        <item x="100"/>
        <item x="101"/>
        <item x="106"/>
        <item x="44"/>
        <item x="41"/>
        <item x="42"/>
        <item x="43"/>
        <item x="53"/>
        <item x="52"/>
        <item x="88"/>
        <item x="86"/>
        <item x="87"/>
        <item x="122"/>
        <item x="126"/>
        <item x="107"/>
        <item x="108"/>
        <item x="118"/>
        <item x="109"/>
        <item x="110"/>
        <item x="111"/>
        <item x="112"/>
        <item x="113"/>
        <item x="114"/>
        <item x="115"/>
        <item x="116"/>
        <item x="119"/>
        <item x="117"/>
        <item x="123"/>
        <item x="124"/>
        <item x="125"/>
        <item x="120"/>
        <item x="121"/>
        <item x="127"/>
        <item x="128"/>
        <item x="129"/>
        <item x="130"/>
        <item x="131"/>
        <item x="132"/>
        <item x="133"/>
        <item x="134"/>
        <item x="141"/>
        <item x="140"/>
        <item x="139"/>
        <item x="138"/>
        <item x="142"/>
        <item x="137"/>
        <item x="136"/>
        <item x="135"/>
        <item x="144"/>
        <item x="143"/>
        <item x="145"/>
        <item x="147"/>
        <item x="146"/>
        <item x="156"/>
        <item x="155"/>
        <item x="148"/>
        <item x="151"/>
        <item x="150"/>
        <item x="157"/>
        <item x="149"/>
        <item x="154"/>
        <item x="153"/>
        <item x="152"/>
        <item x="158"/>
        <item x="159"/>
        <item x="160"/>
        <item x="248"/>
        <item x="260"/>
        <item x="241"/>
        <item x="245"/>
        <item x="240"/>
        <item x="243"/>
        <item x="247"/>
        <item x="244"/>
        <item x="242"/>
        <item x="259"/>
        <item x="246"/>
        <item x="257"/>
        <item x="249"/>
        <item x="255"/>
        <item x="251"/>
        <item x="261"/>
        <item x="262"/>
        <item x="252"/>
        <item x="256"/>
        <item x="254"/>
        <item x="253"/>
        <item x="263"/>
        <item x="250"/>
        <item x="194"/>
        <item x="197"/>
        <item x="199"/>
        <item x="196"/>
        <item x="195"/>
        <item x="198"/>
        <item x="278"/>
        <item x="279"/>
        <item x="280"/>
        <item x="277"/>
        <item x="286"/>
        <item x="221"/>
        <item x="284"/>
        <item x="282"/>
        <item x="285"/>
        <item x="283"/>
        <item x="281"/>
        <item x="233"/>
        <item x="235"/>
        <item x="237"/>
        <item x="232"/>
        <item x="236"/>
        <item x="234"/>
        <item x="238"/>
        <item x="228"/>
        <item x="218"/>
        <item x="229"/>
        <item x="223"/>
        <item x="222"/>
        <item x="224"/>
        <item x="220"/>
        <item x="231"/>
        <item x="219"/>
        <item x="230"/>
        <item x="227"/>
        <item x="226"/>
        <item x="225"/>
        <item x="163"/>
        <item x="164"/>
        <item x="171"/>
        <item x="176"/>
        <item x="174"/>
        <item x="175"/>
        <item x="172"/>
        <item x="183"/>
        <item x="167"/>
        <item x="168"/>
        <item x="166"/>
        <item x="170"/>
        <item x="169"/>
        <item x="179"/>
        <item x="182"/>
        <item x="177"/>
        <item x="165"/>
        <item x="178"/>
        <item x="180"/>
        <item x="181"/>
        <item x="184"/>
        <item x="290"/>
        <item x="292"/>
        <item x="289"/>
        <item x="296"/>
        <item x="313"/>
        <item x="298"/>
        <item x="295"/>
        <item x="291"/>
        <item x="314"/>
        <item x="316"/>
        <item x="321"/>
        <item x="293"/>
        <item x="299"/>
        <item x="294"/>
        <item x="297"/>
        <item x="315"/>
        <item x="312"/>
        <item x="302"/>
        <item x="305"/>
        <item x="300"/>
        <item x="318"/>
        <item x="310"/>
        <item x="317"/>
        <item x="304"/>
        <item x="301"/>
        <item x="309"/>
        <item x="319"/>
        <item x="320"/>
        <item x="322"/>
        <item x="303"/>
        <item x="306"/>
        <item x="308"/>
        <item x="307"/>
        <item x="311"/>
        <item x="329"/>
        <item x="330"/>
        <item x="207"/>
        <item x="210"/>
        <item x="212"/>
        <item x="214"/>
        <item x="208"/>
        <item x="213"/>
        <item x="211"/>
        <item x="209"/>
        <item x="215"/>
        <item x="217"/>
        <item x="216"/>
        <item x="274"/>
        <item x="273"/>
        <item x="276"/>
        <item x="275"/>
        <item x="288"/>
        <item x="266"/>
        <item x="268"/>
        <item x="258"/>
        <item x="265"/>
        <item x="267"/>
        <item x="271"/>
        <item x="270"/>
        <item x="269"/>
        <item x="272"/>
        <item x="205"/>
        <item x="203"/>
        <item x="206"/>
        <item x="204"/>
        <item x="331"/>
        <item x="332"/>
        <item x="333"/>
        <item x="264"/>
        <item x="202"/>
        <item x="201"/>
        <item x="200"/>
        <item x="287"/>
        <item x="239"/>
        <item x="186"/>
        <item x="185"/>
        <item x="188"/>
        <item x="187"/>
        <item x="193"/>
        <item x="192"/>
        <item x="173"/>
        <item x="191"/>
        <item x="190"/>
        <item x="189"/>
        <item x="324"/>
        <item x="323"/>
        <item x="328"/>
        <item x="327"/>
        <item x="326"/>
        <item x="325"/>
        <item x="590"/>
        <item x="588"/>
        <item x="587"/>
        <item x="586"/>
        <item x="585"/>
        <item x="616"/>
        <item x="615"/>
        <item x="617"/>
        <item x="488"/>
        <item x="486"/>
        <item x="485"/>
        <item x="484"/>
        <item x="483"/>
        <item x="482"/>
        <item x="425"/>
        <item x="426"/>
        <item x="427"/>
        <item x="428"/>
        <item x="429"/>
        <item x="430"/>
        <item x="431"/>
        <item x="432"/>
        <item x="433"/>
        <item x="558"/>
        <item x="555"/>
        <item x="556"/>
        <item x="557"/>
        <item x="523"/>
        <item x="522"/>
        <item x="521"/>
        <item x="520"/>
        <item x="519"/>
        <item x="518"/>
        <item x="517"/>
        <item x="358"/>
        <item x="359"/>
        <item x="357"/>
        <item x="360"/>
        <item x="356"/>
        <item x="361"/>
        <item x="363"/>
        <item x="355"/>
        <item x="354"/>
        <item x="632"/>
        <item x="612"/>
        <item x="479"/>
        <item x="471"/>
        <item x="543"/>
        <item x="514"/>
        <item x="371"/>
        <item x="613"/>
        <item x="584"/>
        <item x="583"/>
        <item x="614"/>
        <item x="633"/>
        <item x="582"/>
        <item x="435"/>
        <item x="436"/>
        <item x="437"/>
        <item x="438"/>
        <item x="589"/>
        <item x="571"/>
        <item x="572"/>
        <item x="553"/>
        <item x="552"/>
        <item x="337"/>
        <item x="336"/>
        <item x="340"/>
        <item x="338"/>
        <item x="339"/>
        <item x="334"/>
        <item x="335"/>
        <item x="578"/>
        <item x="580"/>
        <item x="577"/>
        <item x="579"/>
        <item x="609"/>
        <item x="610"/>
        <item x="608"/>
        <item x="414"/>
        <item x="415"/>
        <item x="416"/>
        <item x="417"/>
        <item x="551"/>
        <item x="569"/>
        <item x="550"/>
        <item x="369"/>
        <item x="370"/>
        <item x="598"/>
        <item x="597"/>
        <item x="496"/>
        <item x="495"/>
        <item x="494"/>
        <item x="464"/>
        <item x="465"/>
        <item x="466"/>
        <item x="467"/>
        <item x="468"/>
        <item x="469"/>
        <item x="576"/>
        <item x="562"/>
        <item x="529"/>
        <item x="528"/>
        <item x="373"/>
        <item x="374"/>
        <item x="372"/>
        <item x="375"/>
        <item x="575"/>
        <item x="607"/>
        <item x="574"/>
        <item x="505"/>
        <item x="504"/>
        <item x="503"/>
        <item x="502"/>
        <item x="501"/>
        <item x="487"/>
        <item x="500"/>
        <item x="478"/>
        <item x="477"/>
        <item x="408"/>
        <item x="409"/>
        <item x="410"/>
        <item x="411"/>
        <item x="412"/>
        <item x="413"/>
        <item x="549"/>
        <item x="548"/>
        <item x="568"/>
        <item x="567"/>
        <item x="542"/>
        <item x="540"/>
        <item x="539"/>
        <item x="538"/>
        <item x="537"/>
        <item x="536"/>
        <item x="535"/>
        <item x="534"/>
        <item x="513"/>
        <item x="512"/>
        <item x="511"/>
        <item x="348"/>
        <item x="347"/>
        <item x="345"/>
        <item x="342"/>
        <item x="343"/>
        <item x="346"/>
        <item x="341"/>
        <item x="344"/>
        <item x="541"/>
        <item x="472"/>
        <item x="627"/>
        <item x="628"/>
        <item x="626"/>
        <item x="603"/>
        <item x="606"/>
        <item x="605"/>
        <item x="604"/>
        <item x="499"/>
        <item x="498"/>
        <item x="497"/>
        <item x="476"/>
        <item x="475"/>
        <item x="474"/>
        <item x="473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39"/>
        <item x="565"/>
        <item x="573"/>
        <item x="564"/>
        <item x="563"/>
        <item x="566"/>
        <item x="533"/>
        <item x="532"/>
        <item x="531"/>
        <item x="510"/>
        <item x="509"/>
        <item x="508"/>
        <item x="507"/>
        <item x="384"/>
        <item x="382"/>
        <item x="381"/>
        <item x="383"/>
        <item x="380"/>
        <item x="389"/>
        <item x="386"/>
        <item x="387"/>
        <item x="385"/>
        <item x="388"/>
        <item x="379"/>
        <item x="391"/>
        <item x="392"/>
        <item x="390"/>
        <item x="378"/>
        <item x="452"/>
        <item x="530"/>
        <item x="377"/>
        <item x="376"/>
        <item x="451"/>
        <item x="620"/>
        <item x="635"/>
        <item x="636"/>
        <item x="593"/>
        <item x="596"/>
        <item x="595"/>
        <item x="622"/>
        <item x="619"/>
        <item x="631"/>
        <item x="629"/>
        <item x="630"/>
        <item x="618"/>
        <item x="594"/>
        <item x="592"/>
        <item x="621"/>
        <item x="450"/>
        <item x="600"/>
        <item x="634"/>
        <item x="599"/>
        <item x="623"/>
        <item x="625"/>
        <item x="624"/>
        <item x="506"/>
        <item x="480"/>
        <item x="446"/>
        <item x="447"/>
        <item x="448"/>
        <item x="449"/>
        <item x="407"/>
        <item x="470"/>
        <item x="493"/>
        <item x="440"/>
        <item x="441"/>
        <item x="434"/>
        <item x="527"/>
        <item x="515"/>
        <item x="353"/>
        <item x="350"/>
        <item x="351"/>
        <item x="352"/>
        <item x="442"/>
        <item x="591"/>
        <item x="492"/>
        <item x="491"/>
        <item x="490"/>
        <item x="489"/>
        <item x="481"/>
        <item x="418"/>
        <item x="419"/>
        <item x="420"/>
        <item x="421"/>
        <item x="422"/>
        <item x="423"/>
        <item x="424"/>
        <item x="561"/>
        <item x="560"/>
        <item x="559"/>
        <item x="526"/>
        <item x="525"/>
        <item x="524"/>
        <item x="516"/>
        <item x="368"/>
        <item x="366"/>
        <item x="365"/>
        <item x="364"/>
        <item x="367"/>
        <item x="362"/>
        <item x="611"/>
        <item x="581"/>
        <item x="443"/>
        <item x="444"/>
        <item x="445"/>
        <item x="554"/>
        <item x="570"/>
        <item x="349"/>
        <item x="602"/>
        <item x="601"/>
        <item x="545"/>
        <item x="404"/>
        <item x="398"/>
        <item x="400"/>
        <item x="399"/>
        <item x="402"/>
        <item x="401"/>
        <item x="547"/>
        <item x="546"/>
        <item x="396"/>
        <item x="395"/>
        <item x="397"/>
        <item x="393"/>
        <item x="394"/>
        <item x="544"/>
        <item x="405"/>
        <item x="406"/>
        <item x="403"/>
        <item x="930"/>
        <item x="932"/>
        <item x="933"/>
        <item x="934"/>
        <item x="975"/>
        <item x="935"/>
        <item x="936"/>
        <item x="937"/>
        <item x="938"/>
        <item x="939"/>
        <item x="940"/>
        <item x="973"/>
        <item x="979"/>
        <item x="982"/>
        <item x="988"/>
        <item x="991"/>
        <item x="992"/>
        <item x="994"/>
        <item x="997"/>
        <item x="931"/>
        <item x="976"/>
        <item x="993"/>
        <item x="925"/>
        <item x="927"/>
        <item x="929"/>
        <item x="941"/>
        <item x="942"/>
        <item x="969"/>
        <item x="970"/>
        <item x="971"/>
        <item x="972"/>
        <item x="974"/>
        <item x="977"/>
        <item x="978"/>
        <item x="980"/>
        <item x="981"/>
        <item x="983"/>
        <item x="984"/>
        <item x="985"/>
        <item x="989"/>
        <item x="995"/>
        <item x="996"/>
        <item x="990"/>
        <item x="928"/>
        <item x="987"/>
        <item x="986"/>
        <item x="926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62"/>
        <item x="963"/>
        <item x="964"/>
        <item x="966"/>
        <item x="965"/>
        <item x="968"/>
        <item x="956"/>
        <item x="957"/>
        <item x="958"/>
        <item x="959"/>
        <item x="960"/>
        <item x="961"/>
        <item x="967"/>
        <item x="895"/>
        <item x="896"/>
        <item x="899"/>
        <item x="901"/>
        <item x="903"/>
        <item x="905"/>
        <item x="907"/>
        <item x="908"/>
        <item x="910"/>
        <item x="913"/>
        <item x="915"/>
        <item x="917"/>
        <item x="919"/>
        <item x="921"/>
        <item x="923"/>
        <item x="924"/>
        <item x="894"/>
        <item x="897"/>
        <item x="898"/>
        <item x="900"/>
        <item x="902"/>
        <item x="904"/>
        <item x="906"/>
        <item x="909"/>
        <item x="911"/>
        <item x="912"/>
        <item x="914"/>
        <item x="916"/>
        <item x="918"/>
        <item x="920"/>
        <item x="922"/>
        <item x="1007"/>
        <item x="1009"/>
        <item x="1006"/>
        <item x="1008"/>
        <item x="1001"/>
        <item x="1002"/>
        <item x="1003"/>
        <item x="1004"/>
        <item x="1005"/>
        <item x="998"/>
        <item x="1000"/>
        <item x="999"/>
        <item x="1010"/>
        <item x="643"/>
        <item x="642"/>
        <item x="645"/>
        <item x="651"/>
        <item x="646"/>
        <item x="641"/>
        <item x="640"/>
        <item x="639"/>
        <item x="638"/>
        <item x="697"/>
        <item x="696"/>
        <item x="652"/>
        <item x="650"/>
        <item x="649"/>
        <item x="648"/>
        <item x="647"/>
        <item x="644"/>
        <item x="680"/>
        <item x="686"/>
        <item x="685"/>
        <item x="678"/>
        <item x="705"/>
        <item x="708"/>
        <item x="707"/>
        <item x="706"/>
        <item x="684"/>
        <item x="683"/>
        <item x="682"/>
        <item x="679"/>
        <item x="681"/>
        <item x="637"/>
        <item x="700"/>
        <item x="704"/>
        <item x="703"/>
        <item x="702"/>
        <item x="701"/>
        <item x="677"/>
        <item x="676"/>
        <item x="675"/>
        <item x="674"/>
        <item x="673"/>
        <item x="672"/>
        <item x="671"/>
        <item x="670"/>
        <item x="715"/>
        <item x="714"/>
        <item x="713"/>
        <item x="712"/>
        <item x="711"/>
        <item x="695"/>
        <item x="694"/>
        <item x="693"/>
        <item x="692"/>
        <item x="691"/>
        <item x="699"/>
        <item x="698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727"/>
        <item x="710"/>
        <item x="709"/>
        <item x="690"/>
        <item x="689"/>
        <item x="688"/>
        <item x="687"/>
        <item x="738"/>
        <item x="740"/>
        <item x="744"/>
        <item x="746"/>
        <item x="748"/>
        <item x="750"/>
        <item x="752"/>
        <item x="755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70"/>
        <item x="772"/>
        <item x="773"/>
        <item x="774"/>
        <item x="778"/>
        <item x="779"/>
        <item x="780"/>
        <item x="783"/>
        <item x="784"/>
        <item x="737"/>
        <item x="742"/>
        <item x="743"/>
        <item x="745"/>
        <item x="747"/>
        <item x="749"/>
        <item x="751"/>
        <item x="753"/>
        <item x="754"/>
        <item x="756"/>
        <item x="769"/>
        <item x="771"/>
        <item x="777"/>
        <item x="739"/>
        <item x="741"/>
        <item x="775"/>
        <item x="776"/>
        <item x="781"/>
        <item x="782"/>
        <item x="785"/>
        <item x="786"/>
        <item x="669"/>
        <item x="668"/>
        <item x="667"/>
        <item x="666"/>
        <item x="665"/>
        <item x="664"/>
        <item x="725"/>
        <item x="721"/>
        <item x="720"/>
        <item x="719"/>
        <item x="718"/>
        <item x="726"/>
        <item x="724"/>
        <item x="723"/>
        <item x="722"/>
        <item x="716"/>
        <item x="717"/>
        <item x="733"/>
        <item x="734"/>
        <item x="735"/>
        <item x="736"/>
        <item x="732"/>
        <item x="729"/>
        <item x="728"/>
        <item x="731"/>
        <item x="730"/>
        <item x="823"/>
        <item x="829"/>
        <item x="830"/>
        <item x="835"/>
        <item x="837"/>
        <item x="839"/>
        <item x="827"/>
        <item x="831"/>
        <item x="834"/>
        <item x="836"/>
        <item x="838"/>
        <item x="820"/>
        <item x="821"/>
        <item x="822"/>
        <item x="824"/>
        <item x="826"/>
        <item x="828"/>
        <item x="832"/>
        <item x="833"/>
        <item x="825"/>
        <item x="792"/>
        <item x="793"/>
        <item x="794"/>
        <item x="796"/>
        <item x="798"/>
        <item x="801"/>
        <item x="803"/>
        <item x="805"/>
        <item x="808"/>
        <item x="811"/>
        <item x="812"/>
        <item x="813"/>
        <item x="814"/>
        <item x="795"/>
        <item x="797"/>
        <item x="799"/>
        <item x="800"/>
        <item x="802"/>
        <item x="804"/>
        <item x="806"/>
        <item x="807"/>
        <item x="787"/>
        <item x="789"/>
        <item x="790"/>
        <item x="791"/>
        <item x="809"/>
        <item x="810"/>
        <item x="815"/>
        <item x="816"/>
        <item x="818"/>
        <item x="788"/>
        <item x="819"/>
        <item x="817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9"/>
        <item x="870"/>
        <item x="871"/>
        <item x="872"/>
        <item x="874"/>
        <item x="875"/>
        <item x="876"/>
        <item x="878"/>
        <item x="883"/>
        <item x="884"/>
        <item x="887"/>
        <item x="873"/>
        <item x="877"/>
        <item x="885"/>
        <item x="868"/>
        <item x="879"/>
        <item x="880"/>
        <item x="886"/>
        <item x="888"/>
        <item x="889"/>
        <item x="892"/>
        <item x="890"/>
        <item x="891"/>
        <item x="893"/>
        <item x="881"/>
        <item x="882"/>
        <item t="default"/>
      </items>
    </pivotField>
    <pivotField compact="0" showAll="0">
      <items count="986">
        <item x="943"/>
        <item x="948"/>
        <item x="791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6"/>
        <item x="807"/>
        <item x="811"/>
        <item x="812"/>
        <item x="813"/>
        <item x="814"/>
        <item x="815"/>
        <item x="816"/>
        <item x="817"/>
        <item x="818"/>
        <item x="819"/>
        <item x="820"/>
        <item x="792"/>
        <item x="793"/>
        <item x="805"/>
        <item x="810"/>
        <item x="808"/>
        <item x="809"/>
        <item x="24"/>
        <item x="20"/>
        <item x="13"/>
        <item x="17"/>
        <item x="14"/>
        <item x="102"/>
        <item x="80"/>
        <item x="65"/>
        <item x="56"/>
        <item x="57"/>
        <item x="47"/>
        <item x="48"/>
        <item x="6"/>
        <item x="7"/>
        <item x="0"/>
        <item x="1"/>
        <item x="103"/>
        <item x="94"/>
        <item x="81"/>
        <item x="70"/>
        <item x="71"/>
        <item x="66"/>
        <item x="58"/>
        <item x="59"/>
        <item x="54"/>
        <item x="37"/>
        <item x="42"/>
        <item x="43"/>
        <item x="38"/>
        <item x="27"/>
        <item x="28"/>
        <item x="29"/>
        <item x="30"/>
        <item x="45"/>
        <item x="52"/>
        <item x="8"/>
        <item x="2"/>
        <item x="95"/>
        <item x="104"/>
        <item x="82"/>
        <item x="72"/>
        <item x="73"/>
        <item x="74"/>
        <item x="89"/>
        <item x="25"/>
        <item x="26"/>
        <item x="21"/>
        <item x="22"/>
        <item x="23"/>
        <item x="18"/>
        <item x="15"/>
        <item x="16"/>
        <item x="67"/>
        <item x="83"/>
        <item x="90"/>
        <item x="60"/>
        <item x="55"/>
        <item x="51"/>
        <item x="49"/>
        <item x="50"/>
        <item x="92"/>
        <item x="61"/>
        <item x="53"/>
        <item x="9"/>
        <item x="10"/>
        <item x="3"/>
        <item x="4"/>
        <item x="75"/>
        <item x="76"/>
        <item x="62"/>
        <item x="68"/>
        <item x="69"/>
        <item x="63"/>
        <item x="39"/>
        <item x="40"/>
        <item x="44"/>
        <item x="31"/>
        <item x="32"/>
        <item x="33"/>
        <item x="34"/>
        <item x="41"/>
        <item x="35"/>
        <item x="46"/>
        <item x="93"/>
        <item x="11"/>
        <item x="12"/>
        <item x="5"/>
        <item x="107"/>
        <item x="108"/>
        <item x="96"/>
        <item x="97"/>
        <item x="98"/>
        <item x="99"/>
        <item x="105"/>
        <item x="88"/>
        <item x="86"/>
        <item x="87"/>
        <item x="77"/>
        <item x="84"/>
        <item x="78"/>
        <item x="91"/>
        <item x="123"/>
        <item x="124"/>
        <item x="125"/>
        <item x="64"/>
        <item x="122"/>
        <item x="130"/>
        <item x="131"/>
        <item x="132"/>
        <item x="133"/>
        <item x="134"/>
        <item x="36"/>
        <item x="127"/>
        <item x="128"/>
        <item x="129"/>
        <item x="19"/>
        <item x="118"/>
        <item x="109"/>
        <item x="110"/>
        <item x="111"/>
        <item x="112"/>
        <item x="113"/>
        <item x="114"/>
        <item x="115"/>
        <item x="116"/>
        <item x="119"/>
        <item x="117"/>
        <item x="120"/>
        <item x="121"/>
        <item x="100"/>
        <item x="101"/>
        <item x="106"/>
        <item x="126"/>
        <item x="85"/>
        <item x="79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47"/>
        <item x="749"/>
        <item x="751"/>
        <item x="753"/>
        <item x="755"/>
        <item x="757"/>
        <item x="758"/>
        <item x="760"/>
        <item x="781"/>
        <item x="708"/>
        <item x="707"/>
        <item x="706"/>
        <item x="705"/>
        <item x="704"/>
        <item x="703"/>
        <item x="702"/>
        <item x="701"/>
        <item x="700"/>
        <item x="748"/>
        <item x="750"/>
        <item x="752"/>
        <item x="754"/>
        <item x="756"/>
        <item x="759"/>
        <item x="761"/>
        <item x="762"/>
        <item x="782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741"/>
        <item x="746"/>
        <item x="773"/>
        <item x="775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731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742"/>
        <item x="744"/>
        <item x="763"/>
        <item x="764"/>
        <item x="765"/>
        <item x="766"/>
        <item x="767"/>
        <item x="768"/>
        <item x="769"/>
        <item x="770"/>
        <item x="771"/>
        <item x="772"/>
        <item x="774"/>
        <item x="776"/>
        <item x="777"/>
        <item x="778"/>
        <item x="783"/>
        <item x="784"/>
        <item x="787"/>
        <item x="788"/>
        <item x="641"/>
        <item x="743"/>
        <item x="745"/>
        <item x="779"/>
        <item x="780"/>
        <item x="785"/>
        <item x="786"/>
        <item x="789"/>
        <item x="790"/>
        <item x="240"/>
        <item x="236"/>
        <item x="198"/>
        <item x="208"/>
        <item x="206"/>
        <item x="229"/>
        <item x="228"/>
        <item x="288"/>
        <item x="201"/>
        <item x="197"/>
        <item x="170"/>
        <item x="182"/>
        <item x="169"/>
        <item x="313"/>
        <item x="312"/>
        <item x="323"/>
        <item x="311"/>
        <item x="310"/>
        <item x="322"/>
        <item x="333"/>
        <item x="227"/>
        <item x="287"/>
        <item x="286"/>
        <item x="285"/>
        <item x="284"/>
        <item x="200"/>
        <item x="196"/>
        <item x="181"/>
        <item x="180"/>
        <item x="168"/>
        <item x="167"/>
        <item x="184"/>
        <item x="166"/>
        <item x="179"/>
        <item x="178"/>
        <item x="309"/>
        <item x="308"/>
        <item x="307"/>
        <item x="306"/>
        <item x="321"/>
        <item x="325"/>
        <item x="221"/>
        <item x="233"/>
        <item x="232"/>
        <item x="258"/>
        <item x="264"/>
        <item x="257"/>
        <item x="256"/>
        <item x="255"/>
        <item x="254"/>
        <item x="253"/>
        <item x="252"/>
        <item x="251"/>
        <item x="263"/>
        <item x="265"/>
        <item x="275"/>
        <item x="274"/>
        <item x="273"/>
        <item x="272"/>
        <item x="279"/>
        <item x="278"/>
        <item x="291"/>
        <item x="199"/>
        <item x="177"/>
        <item x="165"/>
        <item x="305"/>
        <item x="304"/>
        <item x="320"/>
        <item x="315"/>
        <item x="303"/>
        <item x="239"/>
        <item x="235"/>
        <item x="238"/>
        <item x="237"/>
        <item x="234"/>
        <item x="207"/>
        <item x="205"/>
        <item x="195"/>
        <item x="226"/>
        <item x="283"/>
        <item x="218"/>
        <item x="215"/>
        <item x="214"/>
        <item x="176"/>
        <item x="164"/>
        <item x="302"/>
        <item x="319"/>
        <item x="318"/>
        <item x="317"/>
        <item x="301"/>
        <item x="300"/>
        <item x="332"/>
        <item x="225"/>
        <item x="224"/>
        <item x="223"/>
        <item x="222"/>
        <item x="282"/>
        <item x="281"/>
        <item x="280"/>
        <item x="289"/>
        <item x="209"/>
        <item x="212"/>
        <item x="216"/>
        <item x="211"/>
        <item x="213"/>
        <item x="217"/>
        <item x="219"/>
        <item x="163"/>
        <item x="175"/>
        <item x="183"/>
        <item x="174"/>
        <item x="173"/>
        <item x="172"/>
        <item x="316"/>
        <item x="299"/>
        <item x="298"/>
        <item x="297"/>
        <item x="292"/>
        <item x="324"/>
        <item x="220"/>
        <item x="231"/>
        <item x="230"/>
        <item x="271"/>
        <item x="262"/>
        <item x="270"/>
        <item x="267"/>
        <item x="269"/>
        <item x="261"/>
        <item x="260"/>
        <item x="250"/>
        <item x="249"/>
        <item x="248"/>
        <item x="247"/>
        <item x="246"/>
        <item x="259"/>
        <item x="268"/>
        <item x="245"/>
        <item x="244"/>
        <item x="243"/>
        <item x="242"/>
        <item x="277"/>
        <item x="276"/>
        <item x="210"/>
        <item x="171"/>
        <item x="335"/>
        <item x="334"/>
        <item x="336"/>
        <item x="296"/>
        <item x="295"/>
        <item x="294"/>
        <item x="293"/>
        <item x="314"/>
        <item x="555"/>
        <item x="573"/>
        <item x="554"/>
        <item x="372"/>
        <item x="558"/>
        <item x="574"/>
        <item x="340"/>
        <item x="339"/>
        <item x="343"/>
        <item x="374"/>
        <item x="351"/>
        <item x="350"/>
        <item x="553"/>
        <item x="570"/>
        <item x="569"/>
        <item x="577"/>
        <item x="394"/>
        <item x="395"/>
        <item x="387"/>
        <item x="385"/>
        <item x="384"/>
        <item x="393"/>
        <item x="386"/>
        <item x="380"/>
        <item x="575"/>
        <item x="576"/>
        <item x="557"/>
        <item x="556"/>
        <item x="341"/>
        <item x="342"/>
        <item x="547"/>
        <item x="552"/>
        <item x="572"/>
        <item x="571"/>
        <item x="348"/>
        <item x="345"/>
        <item x="346"/>
        <item x="546"/>
        <item x="545"/>
        <item x="544"/>
        <item x="543"/>
        <item x="542"/>
        <item x="541"/>
        <item x="540"/>
        <item x="539"/>
        <item x="349"/>
        <item x="568"/>
        <item x="567"/>
        <item x="383"/>
        <item x="392"/>
        <item x="538"/>
        <item x="537"/>
        <item x="536"/>
        <item x="535"/>
        <item x="566"/>
        <item x="376"/>
        <item x="377"/>
        <item x="375"/>
        <item x="534"/>
        <item x="533"/>
        <item x="378"/>
        <item x="562"/>
        <item x="561"/>
        <item x="559"/>
        <item x="560"/>
        <item x="565"/>
        <item x="564"/>
        <item x="563"/>
        <item x="356"/>
        <item x="353"/>
        <item x="354"/>
        <item x="361"/>
        <item x="362"/>
        <item x="360"/>
        <item x="371"/>
        <item x="363"/>
        <item x="359"/>
        <item x="369"/>
        <item x="368"/>
        <item x="367"/>
        <item x="364"/>
        <item x="370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355"/>
        <item x="365"/>
        <item x="366"/>
        <item x="521"/>
        <item x="520"/>
        <item x="519"/>
        <item x="352"/>
        <item x="344"/>
        <item x="347"/>
        <item x="518"/>
        <item x="517"/>
        <item x="516"/>
        <item x="389"/>
        <item x="382"/>
        <item x="390"/>
        <item x="388"/>
        <item x="515"/>
        <item x="514"/>
        <item x="513"/>
        <item x="512"/>
        <item x="379"/>
        <item x="391"/>
        <item x="582"/>
        <item x="584"/>
        <item x="581"/>
        <item x="583"/>
        <item x="613"/>
        <item x="614"/>
        <item x="612"/>
        <item x="419"/>
        <item x="418"/>
        <item x="417"/>
        <item x="420"/>
        <item x="615"/>
        <item x="585"/>
        <item x="449"/>
        <item x="447"/>
        <item x="448"/>
        <item x="602"/>
        <item x="440"/>
        <item x="452"/>
        <item x="624"/>
        <item x="639"/>
        <item x="604"/>
        <item x="638"/>
        <item x="476"/>
        <item x="414"/>
        <item x="631"/>
        <item x="632"/>
        <item x="630"/>
        <item x="607"/>
        <item x="610"/>
        <item x="609"/>
        <item x="465"/>
        <item x="463"/>
        <item x="458"/>
        <item x="457"/>
        <item x="462"/>
        <item x="456"/>
        <item x="601"/>
        <item x="468"/>
        <item x="617"/>
        <item x="588"/>
        <item x="587"/>
        <item x="618"/>
        <item x="637"/>
        <item x="586"/>
        <item x="439"/>
        <item x="442"/>
        <item x="438"/>
        <item x="446"/>
        <item x="441"/>
        <item x="640"/>
        <item x="597"/>
        <item x="600"/>
        <item x="599"/>
        <item x="626"/>
        <item x="623"/>
        <item x="635"/>
        <item x="633"/>
        <item x="634"/>
        <item x="622"/>
        <item x="603"/>
        <item x="627"/>
        <item x="629"/>
        <item x="628"/>
        <item x="598"/>
        <item x="596"/>
        <item x="625"/>
        <item x="511"/>
        <item x="451"/>
        <item x="453"/>
        <item x="450"/>
        <item x="410"/>
        <item x="636"/>
        <item x="616"/>
        <item x="579"/>
        <item x="611"/>
        <item x="578"/>
        <item x="510"/>
        <item x="509"/>
        <item x="508"/>
        <item x="507"/>
        <item x="506"/>
        <item x="505"/>
        <item x="504"/>
        <item x="411"/>
        <item x="413"/>
        <item x="412"/>
        <item x="503"/>
        <item x="502"/>
        <item x="501"/>
        <item x="464"/>
        <item x="461"/>
        <item x="608"/>
        <item x="455"/>
        <item x="500"/>
        <item x="499"/>
        <item x="498"/>
        <item x="472"/>
        <item x="473"/>
        <item x="474"/>
        <item x="471"/>
        <item x="470"/>
        <item x="469"/>
        <item x="475"/>
        <item x="594"/>
        <item x="593"/>
        <item x="592"/>
        <item x="591"/>
        <item x="590"/>
        <item x="589"/>
        <item x="595"/>
        <item x="620"/>
        <item x="619"/>
        <item x="621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43"/>
        <item x="445"/>
        <item x="437"/>
        <item x="431"/>
        <item x="433"/>
        <item x="430"/>
        <item x="435"/>
        <item x="429"/>
        <item x="432"/>
        <item x="434"/>
        <item x="428"/>
        <item x="436"/>
        <item x="444"/>
        <item x="425"/>
        <item x="426"/>
        <item x="427"/>
        <item x="424"/>
        <item x="423"/>
        <item x="422"/>
        <item x="421"/>
        <item x="486"/>
        <item x="485"/>
        <item x="454"/>
        <item x="484"/>
        <item x="483"/>
        <item x="482"/>
        <item x="416"/>
        <item x="415"/>
        <item x="580"/>
        <item x="606"/>
        <item x="605"/>
        <item x="481"/>
        <item x="480"/>
        <item x="479"/>
        <item x="478"/>
        <item x="460"/>
        <item x="459"/>
        <item x="467"/>
        <item x="466"/>
        <item x="373"/>
        <item x="338"/>
        <item x="337"/>
        <item x="477"/>
        <item x="358"/>
        <item x="357"/>
        <item x="381"/>
        <item x="162"/>
        <item x="161"/>
        <item x="939"/>
        <item x="984"/>
        <item x="908"/>
        <item x="909"/>
        <item x="910"/>
        <item x="911"/>
        <item x="912"/>
        <item x="913"/>
        <item x="901"/>
        <item x="963"/>
        <item x="964"/>
        <item x="965"/>
        <item x="833"/>
        <item x="834"/>
        <item x="835"/>
        <item x="836"/>
        <item x="837"/>
        <item x="838"/>
        <item x="839"/>
        <item x="821"/>
        <item x="822"/>
        <item x="823"/>
        <item x="824"/>
        <item x="826"/>
        <item x="827"/>
        <item x="828"/>
        <item x="829"/>
        <item x="830"/>
        <item x="831"/>
        <item x="832"/>
        <item x="825"/>
        <item x="960"/>
        <item x="968"/>
        <item x="961"/>
        <item x="969"/>
        <item x="962"/>
        <item x="967"/>
        <item x="966"/>
        <item x="888"/>
        <item x="889"/>
        <item x="890"/>
        <item x="891"/>
        <item x="892"/>
        <item x="893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1"/>
        <item x="872"/>
        <item x="873"/>
        <item x="874"/>
        <item x="875"/>
        <item x="876"/>
        <item x="877"/>
        <item x="878"/>
        <item x="879"/>
        <item x="880"/>
        <item x="883"/>
        <item x="884"/>
        <item x="885"/>
        <item x="886"/>
        <item x="887"/>
        <item x="870"/>
        <item x="940"/>
        <item x="941"/>
        <item x="944"/>
        <item x="945"/>
        <item x="946"/>
        <item x="947"/>
        <item x="949"/>
        <item x="977"/>
        <item x="942"/>
        <item x="950"/>
        <item x="951"/>
        <item x="952"/>
        <item x="953"/>
        <item x="954"/>
        <item x="955"/>
        <item x="956"/>
        <item x="957"/>
        <item x="958"/>
        <item x="959"/>
        <item x="895"/>
        <item x="896"/>
        <item x="897"/>
        <item x="898"/>
        <item x="899"/>
        <item x="894"/>
        <item x="900"/>
        <item x="902"/>
        <item x="903"/>
        <item x="904"/>
        <item x="906"/>
        <item x="905"/>
        <item x="907"/>
        <item x="914"/>
        <item x="973"/>
        <item x="915"/>
        <item x="916"/>
        <item x="974"/>
        <item x="917"/>
        <item x="970"/>
        <item x="918"/>
        <item x="971"/>
        <item x="919"/>
        <item x="920"/>
        <item x="972"/>
        <item x="921"/>
        <item x="935"/>
        <item x="936"/>
        <item x="937"/>
        <item x="938"/>
        <item x="922"/>
        <item x="924"/>
        <item x="923"/>
        <item x="925"/>
        <item x="926"/>
        <item x="927"/>
        <item x="931"/>
        <item x="929"/>
        <item x="930"/>
        <item x="932"/>
        <item x="933"/>
        <item x="928"/>
        <item x="934"/>
        <item x="979"/>
        <item x="142"/>
        <item x="144"/>
        <item x="143"/>
        <item x="147"/>
        <item x="141"/>
        <item x="140"/>
        <item x="139"/>
        <item x="138"/>
        <item x="137"/>
        <item x="136"/>
        <item x="146"/>
        <item x="145"/>
        <item x="135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327"/>
        <item x="326"/>
        <item x="241"/>
        <item x="331"/>
        <item x="290"/>
        <item x="204"/>
        <item x="188"/>
        <item x="187"/>
        <item x="330"/>
        <item x="194"/>
        <item x="193"/>
        <item x="192"/>
        <item x="191"/>
        <item x="190"/>
        <item x="189"/>
        <item x="266"/>
        <item x="203"/>
        <item x="202"/>
        <item x="186"/>
        <item x="185"/>
        <item x="329"/>
        <item x="328"/>
        <item x="551"/>
        <item x="550"/>
        <item x="549"/>
        <item x="548"/>
        <item x="405"/>
        <item x="401"/>
        <item x="403"/>
        <item x="402"/>
        <item x="399"/>
        <item x="398"/>
        <item x="400"/>
        <item x="396"/>
        <item x="397"/>
        <item x="406"/>
        <item x="407"/>
        <item x="404"/>
        <item x="408"/>
        <item x="409"/>
        <item x="975"/>
        <item x="976"/>
        <item x="978"/>
        <item x="980"/>
        <item x="981"/>
        <item x="157"/>
        <item x="156"/>
        <item x="155"/>
        <item x="154"/>
        <item x="153"/>
        <item x="152"/>
        <item x="158"/>
        <item x="159"/>
        <item x="160"/>
        <item x="151"/>
        <item x="150"/>
        <item x="149"/>
        <item x="148"/>
        <item x="735"/>
        <item x="734"/>
        <item x="737"/>
        <item x="738"/>
        <item x="739"/>
        <item x="740"/>
        <item x="736"/>
        <item x="881"/>
        <item x="882"/>
        <item x="733"/>
        <item x="732"/>
        <item x="983"/>
        <item x="98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1541">
        <item x="48"/>
        <item x="49"/>
        <item x="50"/>
        <item x="38"/>
        <item x="39"/>
        <item x="40"/>
        <item x="41"/>
        <item x="42"/>
        <item x="45"/>
        <item x="47"/>
        <item x="46"/>
        <item x="32"/>
        <item x="34"/>
        <item x="33"/>
        <item x="35"/>
        <item x="37"/>
        <item x="36"/>
        <item x="43"/>
        <item x="44"/>
        <item x="19"/>
        <item x="20"/>
        <item x="16"/>
        <item x="17"/>
        <item x="14"/>
        <item x="18"/>
        <item x="15"/>
        <item x="22"/>
        <item x="21"/>
        <item x="69"/>
        <item x="70"/>
        <item x="66"/>
        <item x="67"/>
        <item x="68"/>
        <item x="63"/>
        <item x="62"/>
        <item x="64"/>
        <item x="65"/>
        <item x="30"/>
        <item x="31"/>
        <item x="25"/>
        <item x="26"/>
        <item x="27"/>
        <item x="29"/>
        <item x="28"/>
        <item x="24"/>
        <item x="23"/>
        <item x="89"/>
        <item x="81"/>
        <item x="82"/>
        <item x="83"/>
        <item x="90"/>
        <item x="91"/>
        <item x="84"/>
        <item x="76"/>
        <item x="87"/>
        <item x="77"/>
        <item x="78"/>
        <item x="88"/>
        <item x="79"/>
        <item x="80"/>
        <item x="75"/>
        <item x="74"/>
        <item x="85"/>
        <item x="86"/>
        <item x="10"/>
        <item x="11"/>
        <item x="4"/>
        <item x="5"/>
        <item x="12"/>
        <item x="13"/>
        <item x="6"/>
        <item x="7"/>
        <item x="8"/>
        <item x="0"/>
        <item x="2"/>
        <item x="1"/>
        <item x="9"/>
        <item x="3"/>
        <item x="111"/>
        <item x="101"/>
        <item x="100"/>
        <item x="102"/>
        <item x="103"/>
        <item x="112"/>
        <item x="113"/>
        <item x="104"/>
        <item x="107"/>
        <item x="108"/>
        <item x="92"/>
        <item x="93"/>
        <item x="94"/>
        <item x="110"/>
        <item x="109"/>
        <item x="95"/>
        <item x="96"/>
        <item x="97"/>
        <item x="98"/>
        <item x="99"/>
        <item x="114"/>
        <item x="115"/>
        <item x="105"/>
        <item x="106"/>
        <item x="122"/>
        <item x="123"/>
        <item x="121"/>
        <item x="120"/>
        <item x="124"/>
        <item x="125"/>
        <item x="244"/>
        <item x="60"/>
        <item x="61"/>
        <item x="58"/>
        <item x="59"/>
        <item x="57"/>
        <item x="128"/>
        <item x="129"/>
        <item x="130"/>
        <item x="131"/>
        <item x="141"/>
        <item x="138"/>
        <item x="139"/>
        <item x="126"/>
        <item x="127"/>
        <item x="140"/>
        <item x="245"/>
        <item x="132"/>
        <item x="135"/>
        <item x="133"/>
        <item x="134"/>
        <item x="137"/>
        <item x="136"/>
        <item x="142"/>
        <item x="56"/>
        <item x="55"/>
        <item x="51"/>
        <item x="52"/>
        <item x="54"/>
        <item x="53"/>
        <item x="73"/>
        <item x="72"/>
        <item x="71"/>
        <item x="119"/>
        <item x="118"/>
        <item x="116"/>
        <item x="117"/>
        <item x="171"/>
        <item x="175"/>
        <item x="143"/>
        <item x="144"/>
        <item x="145"/>
        <item x="165"/>
        <item x="166"/>
        <item x="147"/>
        <item x="146"/>
        <item x="148"/>
        <item x="149"/>
        <item x="151"/>
        <item x="150"/>
        <item x="152"/>
        <item x="153"/>
        <item x="155"/>
        <item x="154"/>
        <item x="157"/>
        <item x="156"/>
        <item x="158"/>
        <item x="159"/>
        <item x="161"/>
        <item x="160"/>
        <item x="167"/>
        <item x="168"/>
        <item x="162"/>
        <item x="164"/>
        <item x="163"/>
        <item x="172"/>
        <item x="173"/>
        <item x="174"/>
        <item x="169"/>
        <item x="170"/>
        <item x="176"/>
        <item x="177"/>
        <item x="178"/>
        <item x="179"/>
        <item x="180"/>
        <item x="181"/>
        <item x="182"/>
        <item x="183"/>
        <item x="184"/>
        <item x="202"/>
        <item x="201"/>
        <item x="203"/>
        <item x="200"/>
        <item x="199"/>
        <item x="196"/>
        <item x="198"/>
        <item x="197"/>
        <item x="195"/>
        <item x="194"/>
        <item x="206"/>
        <item x="205"/>
        <item x="204"/>
        <item x="191"/>
        <item x="193"/>
        <item x="192"/>
        <item x="189"/>
        <item x="190"/>
        <item x="188"/>
        <item x="185"/>
        <item x="186"/>
        <item x="187"/>
        <item x="211"/>
        <item x="210"/>
        <item x="209"/>
        <item x="208"/>
        <item x="207"/>
        <item x="213"/>
        <item x="212"/>
        <item x="217"/>
        <item x="218"/>
        <item x="214"/>
        <item x="215"/>
        <item x="216"/>
        <item x="237"/>
        <item x="238"/>
        <item x="235"/>
        <item x="236"/>
        <item x="219"/>
        <item x="220"/>
        <item x="226"/>
        <item x="227"/>
        <item x="225"/>
        <item x="223"/>
        <item x="224"/>
        <item x="239"/>
        <item x="240"/>
        <item x="221"/>
        <item x="222"/>
        <item x="233"/>
        <item x="234"/>
        <item x="232"/>
        <item x="230"/>
        <item x="231"/>
        <item x="229"/>
        <item x="228"/>
        <item x="241"/>
        <item x="242"/>
        <item x="243"/>
        <item x="388"/>
        <item x="390"/>
        <item x="389"/>
        <item x="410"/>
        <item x="411"/>
        <item x="376"/>
        <item x="377"/>
        <item x="382"/>
        <item x="375"/>
        <item x="374"/>
        <item x="380"/>
        <item x="386"/>
        <item x="385"/>
        <item x="387"/>
        <item x="381"/>
        <item x="378"/>
        <item x="379"/>
        <item x="409"/>
        <item x="408"/>
        <item x="384"/>
        <item x="383"/>
        <item x="406"/>
        <item x="391"/>
        <item x="392"/>
        <item x="393"/>
        <item x="403"/>
        <item x="402"/>
        <item x="404"/>
        <item x="397"/>
        <item x="396"/>
        <item x="413"/>
        <item x="412"/>
        <item x="414"/>
        <item x="415"/>
        <item x="416"/>
        <item x="398"/>
        <item x="399"/>
        <item x="405"/>
        <item x="401"/>
        <item x="400"/>
        <item x="417"/>
        <item x="395"/>
        <item x="394"/>
        <item x="306"/>
        <item x="307"/>
        <item x="310"/>
        <item x="311"/>
        <item x="315"/>
        <item x="309"/>
        <item x="308"/>
        <item x="312"/>
        <item x="313"/>
        <item x="445"/>
        <item x="444"/>
        <item x="446"/>
        <item x="447"/>
        <item x="443"/>
        <item x="458"/>
        <item x="457"/>
        <item x="344"/>
        <item x="453"/>
        <item x="454"/>
        <item x="455"/>
        <item x="450"/>
        <item x="451"/>
        <item x="456"/>
        <item x="452"/>
        <item x="448"/>
        <item x="449"/>
        <item x="358"/>
        <item x="359"/>
        <item x="364"/>
        <item x="363"/>
        <item x="366"/>
        <item x="367"/>
        <item x="357"/>
        <item x="365"/>
        <item x="360"/>
        <item x="362"/>
        <item x="361"/>
        <item x="368"/>
        <item x="369"/>
        <item x="370"/>
        <item x="351"/>
        <item x="340"/>
        <item x="352"/>
        <item x="353"/>
        <item x="346"/>
        <item x="345"/>
        <item x="347"/>
        <item x="343"/>
        <item x="356"/>
        <item x="341"/>
        <item x="342"/>
        <item x="355"/>
        <item x="354"/>
        <item x="350"/>
        <item x="349"/>
        <item x="348"/>
        <item x="246"/>
        <item x="247"/>
        <item x="248"/>
        <item x="258"/>
        <item x="268"/>
        <item x="267"/>
        <item x="262"/>
        <item x="264"/>
        <item x="263"/>
        <item x="266"/>
        <item x="265"/>
        <item x="259"/>
        <item x="260"/>
        <item x="279"/>
        <item x="251"/>
        <item x="252"/>
        <item x="254"/>
        <item x="253"/>
        <item x="250"/>
        <item x="257"/>
        <item x="256"/>
        <item x="255"/>
        <item x="271"/>
        <item x="273"/>
        <item x="272"/>
        <item x="277"/>
        <item x="278"/>
        <item x="269"/>
        <item x="249"/>
        <item x="270"/>
        <item x="274"/>
        <item x="275"/>
        <item x="276"/>
        <item x="281"/>
        <item x="280"/>
        <item x="465"/>
        <item x="466"/>
        <item x="468"/>
        <item x="469"/>
        <item x="463"/>
        <item x="464"/>
        <item x="475"/>
        <item x="506"/>
        <item x="478"/>
        <item x="474"/>
        <item x="467"/>
        <item x="507"/>
        <item x="509"/>
        <item x="517"/>
        <item x="470"/>
        <item x="471"/>
        <item x="479"/>
        <item x="480"/>
        <item x="472"/>
        <item x="473"/>
        <item x="477"/>
        <item x="476"/>
        <item x="508"/>
        <item x="504"/>
        <item x="505"/>
        <item x="485"/>
        <item x="484"/>
        <item x="486"/>
        <item x="490"/>
        <item x="491"/>
        <item x="481"/>
        <item x="512"/>
        <item x="513"/>
        <item x="498"/>
        <item x="499"/>
        <item x="510"/>
        <item x="511"/>
        <item x="489"/>
        <item x="488"/>
        <item x="483"/>
        <item x="482"/>
        <item x="496"/>
        <item x="497"/>
        <item x="514"/>
        <item x="515"/>
        <item x="516"/>
        <item x="518"/>
        <item x="487"/>
        <item x="492"/>
        <item x="493"/>
        <item x="495"/>
        <item x="494"/>
        <item x="503"/>
        <item x="501"/>
        <item x="500"/>
        <item x="502"/>
        <item x="530"/>
        <item x="532"/>
        <item x="531"/>
        <item x="328"/>
        <item x="332"/>
        <item x="334"/>
        <item x="336"/>
        <item x="329"/>
        <item x="330"/>
        <item x="335"/>
        <item x="333"/>
        <item x="331"/>
        <item x="337"/>
        <item x="339"/>
        <item x="338"/>
        <item x="438"/>
        <item x="439"/>
        <item x="437"/>
        <item x="442"/>
        <item x="441"/>
        <item x="440"/>
        <item x="462"/>
        <item x="424"/>
        <item x="425"/>
        <item x="428"/>
        <item x="429"/>
        <item x="422"/>
        <item x="407"/>
        <item x="423"/>
        <item x="421"/>
        <item x="426"/>
        <item x="427"/>
        <item x="435"/>
        <item x="433"/>
        <item x="434"/>
        <item x="432"/>
        <item x="431"/>
        <item x="430"/>
        <item x="436"/>
        <item x="324"/>
        <item x="325"/>
        <item x="322"/>
        <item x="327"/>
        <item x="326"/>
        <item x="323"/>
        <item x="536"/>
        <item x="533"/>
        <item x="535"/>
        <item x="534"/>
        <item x="537"/>
        <item x="419"/>
        <item x="418"/>
        <item x="420"/>
        <item x="320"/>
        <item x="321"/>
        <item x="318"/>
        <item x="319"/>
        <item x="316"/>
        <item x="317"/>
        <item x="459"/>
        <item x="460"/>
        <item x="461"/>
        <item x="373"/>
        <item x="371"/>
        <item x="372"/>
        <item x="284"/>
        <item x="285"/>
        <item x="283"/>
        <item x="282"/>
        <item x="289"/>
        <item x="290"/>
        <item x="288"/>
        <item x="286"/>
        <item x="287"/>
        <item x="314"/>
        <item x="304"/>
        <item x="305"/>
        <item x="302"/>
        <item x="303"/>
        <item x="299"/>
        <item x="300"/>
        <item x="301"/>
        <item x="261"/>
        <item x="298"/>
        <item x="297"/>
        <item x="294"/>
        <item x="296"/>
        <item x="295"/>
        <item x="292"/>
        <item x="291"/>
        <item x="293"/>
        <item x="521"/>
        <item x="520"/>
        <item x="519"/>
        <item x="529"/>
        <item x="526"/>
        <item x="527"/>
        <item x="528"/>
        <item x="525"/>
        <item x="524"/>
        <item x="522"/>
        <item x="523"/>
        <item x="972"/>
        <item x="970"/>
        <item x="969"/>
        <item x="968"/>
        <item x="967"/>
        <item x="1002"/>
        <item x="1003"/>
        <item x="1001"/>
        <item x="1004"/>
        <item x="814"/>
        <item x="813"/>
        <item x="815"/>
        <item x="811"/>
        <item x="810"/>
        <item x="809"/>
        <item x="808"/>
        <item x="807"/>
        <item x="806"/>
        <item x="714"/>
        <item x="715"/>
        <item x="718"/>
        <item x="716"/>
        <item x="717"/>
        <item x="719"/>
        <item x="720"/>
        <item x="721"/>
        <item x="723"/>
        <item x="722"/>
        <item x="724"/>
        <item x="725"/>
        <item x="726"/>
        <item x="727"/>
        <item x="728"/>
        <item x="932"/>
        <item x="928"/>
        <item x="927"/>
        <item x="929"/>
        <item x="926"/>
        <item x="930"/>
        <item x="931"/>
        <item x="873"/>
        <item x="872"/>
        <item x="870"/>
        <item x="871"/>
        <item x="869"/>
        <item x="868"/>
        <item x="867"/>
        <item x="866"/>
        <item x="865"/>
        <item x="863"/>
        <item x="864"/>
        <item x="862"/>
        <item x="861"/>
        <item x="578"/>
        <item x="579"/>
        <item x="580"/>
        <item x="576"/>
        <item x="577"/>
        <item x="581"/>
        <item x="582"/>
        <item x="575"/>
        <item x="584"/>
        <item x="583"/>
        <item x="586"/>
        <item x="574"/>
        <item x="573"/>
        <item x="572"/>
        <item x="568"/>
        <item x="569"/>
        <item x="571"/>
        <item x="570"/>
        <item x="1021"/>
        <item x="998"/>
        <item x="803"/>
        <item x="788"/>
        <item x="907"/>
        <item x="858"/>
        <item x="596"/>
        <item x="999"/>
        <item x="966"/>
        <item x="965"/>
        <item x="1000"/>
        <item x="1022"/>
        <item x="964"/>
        <item x="730"/>
        <item x="732"/>
        <item x="731"/>
        <item x="734"/>
        <item x="733"/>
        <item x="735"/>
        <item x="971"/>
        <item x="951"/>
        <item x="952"/>
        <item x="923"/>
        <item x="924"/>
        <item x="922"/>
        <item x="549"/>
        <item x="548"/>
        <item x="547"/>
        <item x="552"/>
        <item x="550"/>
        <item x="551"/>
        <item x="539"/>
        <item x="538"/>
        <item x="542"/>
        <item x="543"/>
        <item x="544"/>
        <item x="545"/>
        <item x="541"/>
        <item x="540"/>
        <item x="546"/>
        <item x="960"/>
        <item x="959"/>
        <item x="962"/>
        <item x="958"/>
        <item x="961"/>
        <item x="995"/>
        <item x="996"/>
        <item x="993"/>
        <item x="994"/>
        <item x="692"/>
        <item x="693"/>
        <item x="694"/>
        <item x="695"/>
        <item x="696"/>
        <item x="697"/>
        <item x="698"/>
        <item x="920"/>
        <item x="921"/>
        <item x="949"/>
        <item x="919"/>
        <item x="594"/>
        <item x="595"/>
        <item x="980"/>
        <item x="979"/>
        <item x="829"/>
        <item x="828"/>
        <item x="827"/>
        <item x="826"/>
        <item x="825"/>
        <item x="778"/>
        <item x="779"/>
        <item x="781"/>
        <item x="780"/>
        <item x="782"/>
        <item x="783"/>
        <item x="784"/>
        <item x="785"/>
        <item x="786"/>
        <item x="957"/>
        <item x="939"/>
        <item x="885"/>
        <item x="884"/>
        <item x="883"/>
        <item x="882"/>
        <item x="598"/>
        <item x="599"/>
        <item x="597"/>
        <item x="601"/>
        <item x="600"/>
        <item x="956"/>
        <item x="992"/>
        <item x="954"/>
        <item x="955"/>
        <item x="846"/>
        <item x="847"/>
        <item x="843"/>
        <item x="844"/>
        <item x="845"/>
        <item x="842"/>
        <item x="841"/>
        <item x="840"/>
        <item x="838"/>
        <item x="839"/>
        <item x="837"/>
        <item x="812"/>
        <item x="835"/>
        <item x="836"/>
        <item x="802"/>
        <item x="801"/>
        <item x="800"/>
        <item x="680"/>
        <item x="681"/>
        <item x="683"/>
        <item x="682"/>
        <item x="684"/>
        <item x="685"/>
        <item x="688"/>
        <item x="687"/>
        <item x="686"/>
        <item x="689"/>
        <item x="690"/>
        <item x="691"/>
        <item x="918"/>
        <item x="917"/>
        <item x="948"/>
        <item x="947"/>
        <item x="906"/>
        <item x="904"/>
        <item x="903"/>
        <item x="901"/>
        <item x="902"/>
        <item x="899"/>
        <item x="900"/>
        <item x="898"/>
        <item x="896"/>
        <item x="897"/>
        <item x="895"/>
        <item x="893"/>
        <item x="892"/>
        <item x="894"/>
        <item x="857"/>
        <item x="856"/>
        <item x="855"/>
        <item x="560"/>
        <item x="559"/>
        <item x="557"/>
        <item x="554"/>
        <item x="555"/>
        <item x="558"/>
        <item x="553"/>
        <item x="556"/>
        <item x="905"/>
        <item x="791"/>
        <item x="790"/>
        <item x="789"/>
        <item x="1014"/>
        <item x="1015"/>
        <item x="1013"/>
        <item x="986"/>
        <item x="987"/>
        <item x="990"/>
        <item x="991"/>
        <item x="989"/>
        <item x="988"/>
        <item x="833"/>
        <item x="834"/>
        <item x="832"/>
        <item x="831"/>
        <item x="830"/>
        <item x="799"/>
        <item x="798"/>
        <item x="797"/>
        <item x="796"/>
        <item x="794"/>
        <item x="795"/>
        <item x="793"/>
        <item x="792"/>
        <item x="753"/>
        <item x="754"/>
        <item x="755"/>
        <item x="756"/>
        <item x="757"/>
        <item x="759"/>
        <item x="758"/>
        <item x="762"/>
        <item x="761"/>
        <item x="763"/>
        <item x="764"/>
        <item x="765"/>
        <item x="767"/>
        <item x="766"/>
        <item x="769"/>
        <item x="768"/>
        <item x="771"/>
        <item x="770"/>
        <item x="773"/>
        <item x="772"/>
        <item x="774"/>
        <item x="776"/>
        <item x="775"/>
        <item x="760"/>
        <item x="736"/>
        <item x="942"/>
        <item x="943"/>
        <item x="953"/>
        <item x="941"/>
        <item x="940"/>
        <item x="946"/>
        <item x="944"/>
        <item x="945"/>
        <item x="891"/>
        <item x="890"/>
        <item x="889"/>
        <item x="888"/>
        <item x="854"/>
        <item x="853"/>
        <item x="852"/>
        <item x="850"/>
        <item x="851"/>
        <item x="849"/>
        <item x="618"/>
        <item x="615"/>
        <item x="614"/>
        <item x="613"/>
        <item x="616"/>
        <item x="617"/>
        <item x="612"/>
        <item x="611"/>
        <item x="626"/>
        <item x="627"/>
        <item x="622"/>
        <item x="623"/>
        <item x="619"/>
        <item x="621"/>
        <item x="620"/>
        <item x="625"/>
        <item x="624"/>
        <item x="610"/>
        <item x="609"/>
        <item x="629"/>
        <item x="630"/>
        <item x="628"/>
        <item x="606"/>
        <item x="608"/>
        <item x="607"/>
        <item x="605"/>
        <item x="752"/>
        <item x="887"/>
        <item x="886"/>
        <item x="604"/>
        <item x="602"/>
        <item x="603"/>
        <item x="750"/>
        <item x="751"/>
        <item x="1007"/>
        <item x="1024"/>
        <item x="1025"/>
        <item x="975"/>
        <item x="978"/>
        <item x="977"/>
        <item x="1009"/>
        <item x="1006"/>
        <item x="1020"/>
        <item x="1019"/>
        <item x="1016"/>
        <item x="1017"/>
        <item x="1018"/>
        <item x="1005"/>
        <item x="976"/>
        <item x="974"/>
        <item x="1008"/>
        <item x="749"/>
        <item x="982"/>
        <item x="1023"/>
        <item x="981"/>
        <item x="1010"/>
        <item x="1012"/>
        <item x="1011"/>
        <item x="848"/>
        <item x="804"/>
        <item x="745"/>
        <item x="746"/>
        <item x="747"/>
        <item x="1538"/>
        <item x="748"/>
        <item x="679"/>
        <item x="787"/>
        <item x="824"/>
        <item x="823"/>
        <item x="737"/>
        <item x="777"/>
        <item x="738"/>
        <item x="739"/>
        <item x="729"/>
        <item x="881"/>
        <item x="859"/>
        <item x="567"/>
        <item x="564"/>
        <item x="563"/>
        <item x="565"/>
        <item x="566"/>
        <item x="740"/>
        <item x="973"/>
        <item x="821"/>
        <item x="822"/>
        <item x="818"/>
        <item x="820"/>
        <item x="819"/>
        <item x="817"/>
        <item x="816"/>
        <item x="805"/>
        <item x="699"/>
        <item x="700"/>
        <item x="703"/>
        <item x="702"/>
        <item x="701"/>
        <item x="706"/>
        <item x="705"/>
        <item x="704"/>
        <item x="707"/>
        <item x="708"/>
        <item x="709"/>
        <item x="711"/>
        <item x="710"/>
        <item x="712"/>
        <item x="713"/>
        <item x="937"/>
        <item x="938"/>
        <item x="935"/>
        <item x="934"/>
        <item x="936"/>
        <item x="933"/>
        <item x="878"/>
        <item x="879"/>
        <item x="880"/>
        <item x="876"/>
        <item x="877"/>
        <item x="875"/>
        <item x="874"/>
        <item x="860"/>
        <item x="593"/>
        <item x="590"/>
        <item x="589"/>
        <item x="587"/>
        <item x="588"/>
        <item x="592"/>
        <item x="591"/>
        <item x="585"/>
        <item x="997"/>
        <item x="963"/>
        <item x="742"/>
        <item x="741"/>
        <item x="743"/>
        <item x="744"/>
        <item x="925"/>
        <item x="950"/>
        <item x="562"/>
        <item x="561"/>
        <item x="985"/>
        <item x="984"/>
        <item x="983"/>
        <item x="910"/>
        <item x="911"/>
        <item x="909"/>
        <item x="670"/>
        <item x="668"/>
        <item x="669"/>
        <item x="649"/>
        <item x="648"/>
        <item x="647"/>
        <item x="646"/>
        <item x="655"/>
        <item x="656"/>
        <item x="654"/>
        <item x="653"/>
        <item x="652"/>
        <item x="651"/>
        <item x="650"/>
        <item x="662"/>
        <item x="663"/>
        <item x="661"/>
        <item x="657"/>
        <item x="658"/>
        <item x="659"/>
        <item x="660"/>
        <item x="915"/>
        <item x="916"/>
        <item x="914"/>
        <item x="913"/>
        <item x="912"/>
        <item x="639"/>
        <item x="640"/>
        <item x="638"/>
        <item x="635"/>
        <item x="637"/>
        <item x="636"/>
        <item x="644"/>
        <item x="645"/>
        <item x="643"/>
        <item x="642"/>
        <item x="641"/>
        <item x="632"/>
        <item x="631"/>
        <item x="633"/>
        <item x="634"/>
        <item x="908"/>
        <item x="673"/>
        <item x="672"/>
        <item x="674"/>
        <item x="671"/>
        <item x="676"/>
        <item x="677"/>
        <item x="675"/>
        <item x="678"/>
        <item x="665"/>
        <item x="666"/>
        <item x="664"/>
        <item x="667"/>
        <item x="1411"/>
        <item x="1414"/>
        <item x="1415"/>
        <item x="1416"/>
        <item x="1417"/>
        <item x="1489"/>
        <item x="1418"/>
        <item x="1419"/>
        <item x="1420"/>
        <item x="1421"/>
        <item x="1423"/>
        <item x="1422"/>
        <item x="1426"/>
        <item x="1424"/>
        <item x="1425"/>
        <item x="1427"/>
        <item x="1428"/>
        <item x="1485"/>
        <item x="1486"/>
        <item x="1496"/>
        <item x="1497"/>
        <item x="1501"/>
        <item x="1502"/>
        <item x="1509"/>
        <item x="1512"/>
        <item x="1513"/>
        <item x="1515"/>
        <item x="1519"/>
        <item x="1413"/>
        <item x="1412"/>
        <item x="1490"/>
        <item x="1514"/>
        <item x="1403"/>
        <item x="1404"/>
        <item x="1405"/>
        <item x="1407"/>
        <item x="1410"/>
        <item x="1409"/>
        <item x="1429"/>
        <item x="1431"/>
        <item x="1430"/>
        <item x="1476"/>
        <item x="1477"/>
        <item x="1479"/>
        <item x="1478"/>
        <item x="1480"/>
        <item x="1481"/>
        <item x="1484"/>
        <item x="1482"/>
        <item x="1483"/>
        <item x="1488"/>
        <item x="1487"/>
        <item x="1492"/>
        <item x="1491"/>
        <item x="1493"/>
        <item x="1495"/>
        <item x="1494"/>
        <item x="1499"/>
        <item x="1498"/>
        <item x="1500"/>
        <item x="1503"/>
        <item x="1504"/>
        <item x="1505"/>
        <item x="1510"/>
        <item x="1516"/>
        <item x="1517"/>
        <item x="1518"/>
        <item x="1511"/>
        <item x="1408"/>
        <item x="1508"/>
        <item x="1506"/>
        <item x="1507"/>
        <item x="1406"/>
        <item x="1433"/>
        <item x="1432"/>
        <item x="1435"/>
        <item x="1434"/>
        <item x="1438"/>
        <item x="1436"/>
        <item x="1437"/>
        <item x="1440"/>
        <item x="1439"/>
        <item x="1442"/>
        <item x="1441"/>
        <item x="1444"/>
        <item x="1443"/>
        <item x="1445"/>
        <item x="1446"/>
        <item x="1449"/>
        <item x="1447"/>
        <item x="1448"/>
        <item x="1451"/>
        <item x="1450"/>
        <item x="1452"/>
        <item x="1453"/>
        <item x="1454"/>
        <item x="1455"/>
        <item x="1466"/>
        <item x="1468"/>
        <item x="1467"/>
        <item x="1469"/>
        <item x="1472"/>
        <item x="1473"/>
        <item x="1471"/>
        <item x="1470"/>
        <item x="1475"/>
        <item x="1456"/>
        <item x="1459"/>
        <item x="1458"/>
        <item x="1457"/>
        <item x="1462"/>
        <item x="1460"/>
        <item x="1461"/>
        <item x="1463"/>
        <item x="1464"/>
        <item x="1465"/>
        <item x="1474"/>
        <item x="1362"/>
        <item x="1364"/>
        <item x="1363"/>
        <item x="1367"/>
        <item x="1369"/>
        <item x="1371"/>
        <item x="1374"/>
        <item x="1376"/>
        <item x="1378"/>
        <item x="1379"/>
        <item x="1377"/>
        <item x="1383"/>
        <item x="1382"/>
        <item x="1387"/>
        <item x="1388"/>
        <item x="1390"/>
        <item x="1392"/>
        <item x="1395"/>
        <item x="1399"/>
        <item x="1398"/>
        <item x="1401"/>
        <item x="1402"/>
        <item x="1361"/>
        <item x="1365"/>
        <item x="1366"/>
        <item x="1368"/>
        <item x="1370"/>
        <item x="1372"/>
        <item x="1373"/>
        <item x="1375"/>
        <item x="1380"/>
        <item x="1381"/>
        <item x="1384"/>
        <item x="1386"/>
        <item x="1385"/>
        <item x="1389"/>
        <item x="1391"/>
        <item x="1393"/>
        <item x="1394"/>
        <item x="1396"/>
        <item x="1397"/>
        <item x="1400"/>
        <item x="1534"/>
        <item x="1533"/>
        <item x="1537"/>
        <item x="1532"/>
        <item x="1535"/>
        <item x="1536"/>
        <item x="1525"/>
        <item x="1526"/>
        <item x="1527"/>
        <item x="1528"/>
        <item x="1529"/>
        <item x="1531"/>
        <item x="1530"/>
        <item x="1520"/>
        <item x="1523"/>
        <item x="1524"/>
        <item x="1521"/>
        <item x="1522"/>
        <item x="1539"/>
        <item x="1034"/>
        <item x="1035"/>
        <item x="1033"/>
        <item x="1038"/>
        <item x="1039"/>
        <item x="1047"/>
        <item x="1040"/>
        <item x="1032"/>
        <item x="1031"/>
        <item x="1030"/>
        <item x="1029"/>
        <item x="1105"/>
        <item x="1106"/>
        <item x="1104"/>
        <item x="1048"/>
        <item x="1046"/>
        <item x="1045"/>
        <item x="1043"/>
        <item x="1044"/>
        <item x="1042"/>
        <item x="1041"/>
        <item x="1036"/>
        <item x="1037"/>
        <item x="1083"/>
        <item x="1082"/>
        <item x="1089"/>
        <item x="1088"/>
        <item x="1080"/>
        <item x="1115"/>
        <item x="1118"/>
        <item x="1117"/>
        <item x="1116"/>
        <item x="1087"/>
        <item x="1086"/>
        <item x="1085"/>
        <item x="1081"/>
        <item x="1084"/>
        <item x="1027"/>
        <item x="1026"/>
        <item x="1028"/>
        <item x="1109"/>
        <item x="1114"/>
        <item x="1113"/>
        <item x="1112"/>
        <item x="1111"/>
        <item x="1110"/>
        <item x="1077"/>
        <item x="1079"/>
        <item x="1078"/>
        <item x="1076"/>
        <item x="1075"/>
        <item x="1074"/>
        <item x="1073"/>
        <item x="1072"/>
        <item x="1071"/>
        <item x="1070"/>
        <item x="1069"/>
        <item x="1068"/>
        <item x="1127"/>
        <item x="1126"/>
        <item x="1125"/>
        <item x="1123"/>
        <item x="1124"/>
        <item x="1122"/>
        <item x="1121"/>
        <item x="1102"/>
        <item x="1103"/>
        <item x="1101"/>
        <item x="1098"/>
        <item x="1100"/>
        <item x="1099"/>
        <item x="1096"/>
        <item x="1097"/>
        <item x="1094"/>
        <item x="1095"/>
        <item x="1108"/>
        <item x="1107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144"/>
        <item x="1120"/>
        <item x="1119"/>
        <item x="1093"/>
        <item x="1092"/>
        <item x="1091"/>
        <item x="1090"/>
        <item x="1159"/>
        <item x="1167"/>
        <item x="1171"/>
        <item x="1173"/>
        <item x="1175"/>
        <item x="1177"/>
        <item x="1179"/>
        <item x="1186"/>
        <item x="1184"/>
        <item x="1185"/>
        <item x="1188"/>
        <item x="1189"/>
        <item x="1191"/>
        <item x="1192"/>
        <item x="1190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7"/>
        <item x="1209"/>
        <item x="1208"/>
        <item x="1210"/>
        <item x="1218"/>
        <item x="1219"/>
        <item x="1220"/>
        <item x="1221"/>
        <item x="1222"/>
        <item x="1223"/>
        <item x="1229"/>
        <item x="1230"/>
        <item x="1157"/>
        <item x="1158"/>
        <item x="1169"/>
        <item x="1170"/>
        <item x="1172"/>
        <item x="1174"/>
        <item x="1176"/>
        <item x="1178"/>
        <item x="1180"/>
        <item x="1181"/>
        <item x="1182"/>
        <item x="1183"/>
        <item x="1187"/>
        <item x="1204"/>
        <item x="1206"/>
        <item x="1217"/>
        <item x="1165"/>
        <item x="1160"/>
        <item x="1164"/>
        <item x="1166"/>
        <item x="1163"/>
        <item x="1162"/>
        <item x="1161"/>
        <item x="1168"/>
        <item x="1211"/>
        <item x="1212"/>
        <item x="1213"/>
        <item x="1216"/>
        <item x="1214"/>
        <item x="1215"/>
        <item x="1225"/>
        <item x="1226"/>
        <item x="1224"/>
        <item x="1227"/>
        <item x="1228"/>
        <item x="1231"/>
        <item x="1232"/>
        <item x="1066"/>
        <item x="1067"/>
        <item x="1065"/>
        <item x="1064"/>
        <item x="1063"/>
        <item x="1062"/>
        <item x="1060"/>
        <item x="1061"/>
        <item x="1142"/>
        <item x="1137"/>
        <item x="1136"/>
        <item x="1134"/>
        <item x="1135"/>
        <item x="1133"/>
        <item x="1143"/>
        <item x="1141"/>
        <item x="1140"/>
        <item x="1138"/>
        <item x="1139"/>
        <item x="1130"/>
        <item x="1128"/>
        <item x="1129"/>
        <item x="1131"/>
        <item x="1132"/>
        <item x="1153"/>
        <item x="1154"/>
        <item x="1155"/>
        <item x="1156"/>
        <item x="1152"/>
        <item x="1146"/>
        <item x="1145"/>
        <item x="1150"/>
        <item x="1151"/>
        <item x="1147"/>
        <item x="1149"/>
        <item x="1148"/>
        <item x="1283"/>
        <item x="1285"/>
        <item x="1284"/>
        <item x="1291"/>
        <item x="1292"/>
        <item x="1299"/>
        <item x="1303"/>
        <item x="1302"/>
        <item x="1301"/>
        <item x="1306"/>
        <item x="1289"/>
        <item x="1293"/>
        <item x="1298"/>
        <item x="1300"/>
        <item x="1305"/>
        <item x="1304"/>
        <item x="1279"/>
        <item x="1277"/>
        <item x="1278"/>
        <item x="1280"/>
        <item x="1281"/>
        <item x="1282"/>
        <item x="1286"/>
        <item x="1288"/>
        <item x="1290"/>
        <item x="1294"/>
        <item x="1295"/>
        <item x="1296"/>
        <item x="1297"/>
        <item x="1287"/>
        <item x="1242"/>
        <item x="1243"/>
        <item x="1244"/>
        <item x="1246"/>
        <item x="1248"/>
        <item x="1251"/>
        <item x="1253"/>
        <item x="1255"/>
        <item x="1258"/>
        <item x="1263"/>
        <item x="1264"/>
        <item x="1265"/>
        <item x="1266"/>
        <item x="1245"/>
        <item x="1247"/>
        <item x="1249"/>
        <item x="1250"/>
        <item x="1252"/>
        <item x="1254"/>
        <item x="1256"/>
        <item x="1257"/>
        <item x="1235"/>
        <item x="1233"/>
        <item x="1236"/>
        <item x="1237"/>
        <item x="1238"/>
        <item x="1241"/>
        <item x="1240"/>
        <item x="1239"/>
        <item x="1260"/>
        <item x="1259"/>
        <item x="1261"/>
        <item x="1262"/>
        <item x="1269"/>
        <item x="1267"/>
        <item x="1268"/>
        <item x="1270"/>
        <item x="1271"/>
        <item x="1273"/>
        <item x="1274"/>
        <item x="1275"/>
        <item x="1234"/>
        <item x="1276"/>
        <item x="1272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1"/>
        <item x="1342"/>
        <item x="1343"/>
        <item x="1345"/>
        <item x="1350"/>
        <item x="1351"/>
        <item x="1354"/>
        <item x="1340"/>
        <item x="1344"/>
        <item x="1352"/>
        <item x="1335"/>
        <item x="1346"/>
        <item x="1347"/>
        <item x="1353"/>
        <item x="1355"/>
        <item x="1356"/>
        <item x="1359"/>
        <item x="1357"/>
        <item x="1358"/>
        <item x="1360"/>
        <item x="1348"/>
        <item x="1349"/>
        <item t="default"/>
      </items>
    </pivotField>
    <pivotField compact="0" showAll="0">
      <items count="540">
        <item x="0"/>
        <item x="375"/>
        <item x="466"/>
        <item x="312"/>
        <item x="109"/>
        <item x="487"/>
        <item x="10"/>
        <item x="295"/>
        <item x="495"/>
        <item x="460"/>
        <item x="534"/>
        <item x="520"/>
        <item x="78"/>
        <item x="263"/>
        <item x="31"/>
        <item x="387"/>
        <item x="140"/>
        <item x="502"/>
        <item x="286"/>
        <item x="145"/>
        <item x="223"/>
        <item x="390"/>
        <item x="273"/>
        <item x="411"/>
        <item x="36"/>
        <item x="343"/>
        <item x="20"/>
        <item x="108"/>
        <item x="268"/>
        <item x="418"/>
        <item x="209"/>
        <item x="275"/>
        <item x="322"/>
        <item x="115"/>
        <item x="430"/>
        <item x="213"/>
        <item x="447"/>
        <item x="233"/>
        <item x="429"/>
        <item x="345"/>
        <item x="391"/>
        <item x="196"/>
        <item x="127"/>
        <item x="300"/>
        <item x="506"/>
        <item x="130"/>
        <item x="399"/>
        <item x="182"/>
        <item x="269"/>
        <item x="392"/>
        <item x="373"/>
        <item x="324"/>
        <item x="133"/>
        <item x="8"/>
        <item x="397"/>
        <item x="458"/>
        <item x="443"/>
        <item x="472"/>
        <item x="149"/>
        <item x="199"/>
        <item x="231"/>
        <item x="388"/>
        <item x="227"/>
        <item x="425"/>
        <item x="110"/>
        <item x="157"/>
        <item x="3"/>
        <item x="488"/>
        <item x="161"/>
        <item x="475"/>
        <item x="412"/>
        <item x="307"/>
        <item x="193"/>
        <item x="98"/>
        <item x="40"/>
        <item x="147"/>
        <item x="527"/>
        <item x="482"/>
        <item x="445"/>
        <item x="356"/>
        <item x="457"/>
        <item x="367"/>
        <item x="370"/>
        <item x="119"/>
        <item x="510"/>
        <item x="173"/>
        <item x="389"/>
        <item x="6"/>
        <item x="468"/>
        <item x="489"/>
        <item x="366"/>
        <item x="317"/>
        <item x="484"/>
        <item x="301"/>
        <item x="88"/>
        <item x="240"/>
        <item x="176"/>
        <item x="255"/>
        <item x="241"/>
        <item x="154"/>
        <item x="308"/>
        <item x="180"/>
        <item x="62"/>
        <item x="44"/>
        <item x="297"/>
        <item x="478"/>
        <item x="104"/>
        <item x="368"/>
        <item x="73"/>
        <item x="296"/>
        <item x="146"/>
        <item x="203"/>
        <item x="18"/>
        <item x="118"/>
        <item x="212"/>
        <item x="332"/>
        <item x="433"/>
        <item x="39"/>
        <item x="19"/>
        <item x="282"/>
        <item x="476"/>
        <item x="340"/>
        <item x="94"/>
        <item x="395"/>
        <item x="72"/>
        <item x="321"/>
        <item x="265"/>
        <item x="97"/>
        <item x="537"/>
        <item x="347"/>
        <item x="442"/>
        <item x="92"/>
        <item x="247"/>
        <item x="95"/>
        <item x="128"/>
        <item x="276"/>
        <item x="188"/>
        <item x="63"/>
        <item x="152"/>
        <item x="303"/>
        <item x="30"/>
        <item x="360"/>
        <item x="361"/>
        <item x="211"/>
        <item x="474"/>
        <item x="256"/>
        <item x="309"/>
        <item x="405"/>
        <item x="238"/>
        <item x="103"/>
        <item x="177"/>
        <item x="420"/>
        <item x="85"/>
        <item x="386"/>
        <item x="185"/>
        <item x="521"/>
        <item x="440"/>
        <item x="384"/>
        <item x="456"/>
        <item x="194"/>
        <item x="25"/>
        <item x="208"/>
        <item x="126"/>
        <item x="512"/>
        <item x="339"/>
        <item x="7"/>
        <item x="538"/>
        <item x="23"/>
        <item x="64"/>
        <item x="70"/>
        <item x="325"/>
        <item x="364"/>
        <item x="331"/>
        <item x="65"/>
        <item x="192"/>
        <item x="320"/>
        <item x="353"/>
        <item x="102"/>
        <item x="348"/>
        <item x="249"/>
        <item x="355"/>
        <item x="219"/>
        <item x="136"/>
        <item x="96"/>
        <item x="50"/>
        <item x="13"/>
        <item x="467"/>
        <item x="516"/>
        <item x="43"/>
        <item x="352"/>
        <item x="421"/>
        <item x="101"/>
        <item x="530"/>
        <item x="246"/>
        <item x="342"/>
        <item x="499"/>
        <item x="202"/>
        <item x="84"/>
        <item x="349"/>
        <item x="27"/>
        <item x="184"/>
        <item x="437"/>
        <item x="503"/>
        <item x="338"/>
        <item x="5"/>
        <item x="204"/>
        <item x="260"/>
        <item x="335"/>
        <item x="522"/>
        <item x="270"/>
        <item x="186"/>
        <item x="122"/>
        <item x="242"/>
        <item x="28"/>
        <item x="172"/>
        <item x="252"/>
        <item x="53"/>
        <item x="116"/>
        <item x="473"/>
        <item x="163"/>
        <item x="493"/>
        <item x="35"/>
        <item x="117"/>
        <item x="164"/>
        <item x="491"/>
        <item x="323"/>
        <item x="404"/>
        <item x="428"/>
        <item x="166"/>
        <item x="427"/>
        <item x="237"/>
        <item x="230"/>
        <item x="293"/>
        <item x="29"/>
        <item x="89"/>
        <item x="26"/>
        <item x="377"/>
        <item x="106"/>
        <item x="131"/>
        <item x="281"/>
        <item x="239"/>
        <item x="532"/>
        <item x="448"/>
        <item x="175"/>
        <item x="143"/>
        <item x="259"/>
        <item x="374"/>
        <item x="148"/>
        <item x="515"/>
        <item x="409"/>
        <item x="22"/>
        <item x="253"/>
        <item x="305"/>
        <item x="129"/>
        <item x="314"/>
        <item x="498"/>
        <item x="434"/>
        <item x="16"/>
        <item x="52"/>
        <item x="469"/>
        <item x="150"/>
        <item x="91"/>
        <item x="529"/>
        <item x="235"/>
        <item x="336"/>
        <item x="254"/>
        <item x="362"/>
        <item x="69"/>
        <item x="221"/>
        <item x="481"/>
        <item x="243"/>
        <item x="165"/>
        <item x="75"/>
        <item x="310"/>
        <item x="358"/>
        <item x="174"/>
        <item x="215"/>
        <item x="214"/>
        <item x="446"/>
        <item x="135"/>
        <item x="453"/>
        <item x="248"/>
        <item x="71"/>
        <item x="396"/>
        <item x="406"/>
        <item x="290"/>
        <item x="382"/>
        <item x="156"/>
        <item x="365"/>
        <item x="167"/>
        <item x="1"/>
        <item x="229"/>
        <item x="262"/>
        <item x="226"/>
        <item x="283"/>
        <item x="403"/>
        <item x="38"/>
        <item x="380"/>
        <item x="224"/>
        <item x="74"/>
        <item x="159"/>
        <item x="124"/>
        <item x="483"/>
        <item x="168"/>
        <item x="285"/>
        <item x="144"/>
        <item x="505"/>
        <item x="304"/>
        <item x="334"/>
        <item x="464"/>
        <item x="138"/>
        <item x="58"/>
        <item x="423"/>
        <item x="33"/>
        <item x="292"/>
        <item x="114"/>
        <item x="86"/>
        <item x="207"/>
        <item x="492"/>
        <item x="376"/>
        <item x="461"/>
        <item x="134"/>
        <item x="100"/>
        <item x="171"/>
        <item x="407"/>
        <item x="383"/>
        <item x="105"/>
        <item x="438"/>
        <item x="17"/>
        <item x="121"/>
        <item x="60"/>
        <item x="206"/>
        <item x="417"/>
        <item x="381"/>
        <item x="319"/>
        <item x="333"/>
        <item x="414"/>
        <item x="531"/>
        <item x="153"/>
        <item x="455"/>
        <item x="278"/>
        <item x="459"/>
        <item x="513"/>
        <item x="244"/>
        <item x="61"/>
        <item x="313"/>
        <item x="357"/>
        <item x="47"/>
        <item x="142"/>
        <item x="465"/>
        <item x="217"/>
        <item x="32"/>
        <item x="535"/>
        <item x="137"/>
        <item x="536"/>
        <item x="68"/>
        <item x="51"/>
        <item x="181"/>
        <item x="413"/>
        <item x="363"/>
        <item x="419"/>
        <item x="46"/>
        <item x="354"/>
        <item x="190"/>
        <item x="280"/>
        <item x="200"/>
        <item x="216"/>
        <item x="79"/>
        <item x="463"/>
        <item x="77"/>
        <item x="271"/>
        <item x="504"/>
        <item x="264"/>
        <item x="41"/>
        <item x="490"/>
        <item x="160"/>
        <item x="526"/>
        <item x="371"/>
        <item x="201"/>
        <item x="14"/>
        <item x="132"/>
        <item x="471"/>
        <item x="497"/>
        <item x="220"/>
        <item x="123"/>
        <item x="528"/>
        <item x="494"/>
        <item x="501"/>
        <item x="9"/>
        <item x="11"/>
        <item x="327"/>
        <item x="500"/>
        <item x="408"/>
        <item x="99"/>
        <item x="514"/>
        <item x="257"/>
        <item x="344"/>
        <item x="432"/>
        <item x="302"/>
        <item x="21"/>
        <item x="49"/>
        <item x="402"/>
        <item x="111"/>
        <item x="198"/>
        <item x="415"/>
        <item x="294"/>
        <item x="288"/>
        <item x="81"/>
        <item x="120"/>
        <item x="197"/>
        <item x="90"/>
        <item x="436"/>
        <item x="426"/>
        <item x="55"/>
        <item x="379"/>
        <item x="329"/>
        <item x="372"/>
        <item x="326"/>
        <item x="67"/>
        <item x="470"/>
        <item x="441"/>
        <item x="66"/>
        <item x="410"/>
        <item x="169"/>
        <item x="218"/>
        <item x="485"/>
        <item x="113"/>
        <item x="83"/>
        <item x="524"/>
        <item x="274"/>
        <item x="328"/>
        <item x="158"/>
        <item x="48"/>
        <item x="346"/>
        <item x="139"/>
        <item x="125"/>
        <item x="179"/>
        <item x="509"/>
        <item x="56"/>
        <item x="318"/>
        <item x="479"/>
        <item x="195"/>
        <item x="34"/>
        <item x="12"/>
        <item x="272"/>
        <item x="378"/>
        <item x="394"/>
        <item x="450"/>
        <item x="444"/>
        <item x="311"/>
        <item x="422"/>
        <item x="400"/>
        <item x="258"/>
        <item x="462"/>
        <item x="435"/>
        <item x="398"/>
        <item x="518"/>
        <item x="306"/>
        <item x="187"/>
        <item x="76"/>
        <item x="170"/>
        <item x="141"/>
        <item x="210"/>
        <item x="82"/>
        <item x="191"/>
        <item x="234"/>
        <item x="439"/>
        <item x="222"/>
        <item x="245"/>
        <item x="525"/>
        <item x="151"/>
        <item x="45"/>
        <item x="279"/>
        <item x="155"/>
        <item x="315"/>
        <item x="4"/>
        <item x="107"/>
        <item x="330"/>
        <item x="337"/>
        <item x="316"/>
        <item x="451"/>
        <item x="37"/>
        <item x="523"/>
        <item x="205"/>
        <item x="299"/>
        <item x="351"/>
        <item x="250"/>
        <item x="369"/>
        <item x="508"/>
        <item x="267"/>
        <item x="519"/>
        <item x="183"/>
        <item x="477"/>
        <item x="189"/>
        <item x="162"/>
        <item x="424"/>
        <item x="359"/>
        <item x="178"/>
        <item x="496"/>
        <item x="480"/>
        <item x="232"/>
        <item x="517"/>
        <item x="54"/>
        <item x="93"/>
        <item x="298"/>
        <item x="87"/>
        <item x="486"/>
        <item x="57"/>
        <item x="287"/>
        <item x="266"/>
        <item x="350"/>
        <item x="416"/>
        <item x="277"/>
        <item x="341"/>
        <item x="289"/>
        <item x="431"/>
        <item x="59"/>
        <item x="507"/>
        <item x="228"/>
        <item x="449"/>
        <item x="251"/>
        <item x="291"/>
        <item x="236"/>
        <item x="454"/>
        <item x="284"/>
        <item x="2"/>
        <item x="452"/>
        <item x="401"/>
        <item x="261"/>
        <item x="15"/>
        <item x="112"/>
        <item x="80"/>
        <item x="393"/>
        <item x="42"/>
        <item x="385"/>
        <item x="533"/>
        <item x="511"/>
        <item x="24"/>
        <item x="225"/>
        <item t="default"/>
      </items>
    </pivotField>
    <pivotField axis="axisRow" compact="0" sortType="descending" showAll="0">
      <items count="8">
        <item x="3"/>
        <item x="2"/>
        <item x="5"/>
        <item x="0"/>
        <item x="1"/>
        <item x="6"/>
        <item x="4"/>
        <item t="default"/>
      </items>
    </pivotField>
    <pivotField compact="0" showAll="0">
      <items count="11">
        <item x="7"/>
        <item x="5"/>
        <item x="6"/>
        <item x="3"/>
        <item x="4"/>
        <item x="9"/>
        <item x="1"/>
        <item x="0"/>
        <item x="8"/>
        <item x="2"/>
        <item t="default"/>
      </items>
    </pivotField>
    <pivotField axis="axisCol" compact="0" showAll="0">
      <items count="2">
        <item x="0"/>
        <item t="default"/>
      </items>
    </pivotField>
    <pivotField compact="0" showAll="0">
      <items count="19">
        <item x="13"/>
        <item x="12"/>
        <item x="4"/>
        <item x="14"/>
        <item x="7"/>
        <item x="1"/>
        <item x="10"/>
        <item x="11"/>
        <item x="5"/>
        <item x="8"/>
        <item x="9"/>
        <item x="17"/>
        <item x="16"/>
        <item x="6"/>
        <item x="3"/>
        <item x="0"/>
        <item x="2"/>
        <item x="15"/>
        <item t="default"/>
      </items>
    </pivotField>
    <pivotField compact="0" showAll="0">
      <items count="83">
        <item x="36"/>
        <item x="50"/>
        <item x="9"/>
        <item x="20"/>
        <item x="7"/>
        <item x="30"/>
        <item x="12"/>
        <item x="13"/>
        <item x="21"/>
        <item x="18"/>
        <item x="34"/>
        <item x="71"/>
        <item x="76"/>
        <item x="15"/>
        <item x="73"/>
        <item x="72"/>
        <item x="77"/>
        <item x="17"/>
        <item x="38"/>
        <item x="35"/>
        <item x="26"/>
        <item x="27"/>
        <item x="25"/>
        <item x="16"/>
        <item x="39"/>
        <item x="66"/>
        <item x="51"/>
        <item x="67"/>
        <item x="48"/>
        <item x="28"/>
        <item x="32"/>
        <item x="33"/>
        <item x="19"/>
        <item x="22"/>
        <item x="23"/>
        <item x="70"/>
        <item x="24"/>
        <item x="74"/>
        <item x="5"/>
        <item x="8"/>
        <item x="2"/>
        <item x="10"/>
        <item x="11"/>
        <item x="0"/>
        <item x="68"/>
        <item x="79"/>
        <item x="78"/>
        <item x="80"/>
        <item x="63"/>
        <item x="75"/>
        <item x="14"/>
        <item x="31"/>
        <item x="40"/>
        <item x="49"/>
        <item x="3"/>
        <item x="6"/>
        <item x="4"/>
        <item x="29"/>
        <item x="46"/>
        <item x="1"/>
        <item x="61"/>
        <item x="59"/>
        <item x="65"/>
        <item x="64"/>
        <item x="60"/>
        <item x="81"/>
        <item x="37"/>
        <item x="58"/>
        <item x="56"/>
        <item x="45"/>
        <item x="43"/>
        <item x="57"/>
        <item x="55"/>
        <item x="44"/>
        <item x="47"/>
        <item x="53"/>
        <item x="54"/>
        <item x="52"/>
        <item x="42"/>
        <item x="41"/>
        <item x="69"/>
        <item x="6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0">
        <item x="4"/>
        <item x="2"/>
        <item x="1"/>
        <item x="7"/>
        <item x="5"/>
        <item x="0"/>
        <item x="3"/>
        <item x="8"/>
        <item x="6"/>
        <item t="default"/>
      </items>
    </pivotField>
    <pivotField compact="0" showAll="0">
      <items count="8">
        <item x="4"/>
        <item x="2"/>
        <item x="0"/>
        <item x="5"/>
        <item x="1"/>
        <item x="6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7">
        <item x="6"/>
        <item x="7"/>
        <item x="2"/>
        <item x="8"/>
        <item x="3"/>
        <item x="34"/>
        <item x="1"/>
        <item x="0"/>
        <item x="32"/>
        <item x="4"/>
        <item x="9"/>
        <item x="12"/>
        <item x="15"/>
        <item x="16"/>
        <item x="13"/>
        <item x="10"/>
        <item x="31"/>
        <item x="14"/>
        <item x="11"/>
        <item x="29"/>
        <item x="20"/>
        <item x="21"/>
        <item x="27"/>
        <item x="19"/>
        <item x="30"/>
        <item x="18"/>
        <item x="17"/>
        <item x="37"/>
        <item x="38"/>
        <item x="39"/>
        <item x="40"/>
        <item x="45"/>
        <item x="44"/>
        <item x="41"/>
        <item x="43"/>
        <item x="42"/>
        <item x="24"/>
        <item x="25"/>
        <item x="5"/>
        <item x="23"/>
        <item x="22"/>
        <item x="33"/>
        <item x="36"/>
        <item x="35"/>
        <item x="26"/>
        <item x="2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1">
        <item x="32"/>
        <item x="37"/>
        <item x="36"/>
        <item x="7"/>
        <item x="0"/>
        <item x="10"/>
        <item x="11"/>
        <item x="24"/>
        <item x="5"/>
        <item x="25"/>
        <item x="28"/>
        <item x="12"/>
        <item x="1"/>
        <item x="2"/>
        <item x="33"/>
        <item x="22"/>
        <item x="30"/>
        <item x="27"/>
        <item x="14"/>
        <item x="15"/>
        <item x="16"/>
        <item x="17"/>
        <item x="18"/>
        <item x="34"/>
        <item x="8"/>
        <item x="31"/>
        <item x="13"/>
        <item x="35"/>
        <item x="4"/>
        <item x="29"/>
        <item x="39"/>
        <item x="19"/>
        <item x="20"/>
        <item x="21"/>
        <item x="23"/>
        <item x="38"/>
        <item x="9"/>
        <item x="3"/>
        <item x="6"/>
        <item x="26"/>
        <item t="default"/>
      </items>
    </pivotField>
    <pivotField compact="0" showAll="0">
      <items count="116">
        <item x="111"/>
        <item x="66"/>
        <item x="92"/>
        <item x="39"/>
        <item x="106"/>
        <item x="94"/>
        <item x="107"/>
        <item x="105"/>
        <item x="74"/>
        <item x="20"/>
        <item x="85"/>
        <item x="50"/>
        <item x="100"/>
        <item x="96"/>
        <item x="95"/>
        <item x="97"/>
        <item x="60"/>
        <item x="67"/>
        <item x="8"/>
        <item x="5"/>
        <item x="61"/>
        <item x="104"/>
        <item x="114"/>
        <item x="80"/>
        <item x="81"/>
        <item x="79"/>
        <item x="62"/>
        <item x="4"/>
        <item x="87"/>
        <item x="59"/>
        <item x="53"/>
        <item x="2"/>
        <item x="42"/>
        <item x="75"/>
        <item x="76"/>
        <item x="77"/>
        <item x="29"/>
        <item x="44"/>
        <item x="36"/>
        <item x="35"/>
        <item x="34"/>
        <item x="41"/>
        <item x="31"/>
        <item x="45"/>
        <item x="30"/>
        <item x="46"/>
        <item x="33"/>
        <item x="32"/>
        <item x="28"/>
        <item x="48"/>
        <item x="22"/>
        <item x="56"/>
        <item x="54"/>
        <item x="52"/>
        <item x="16"/>
        <item x="19"/>
        <item x="63"/>
        <item x="65"/>
        <item x="102"/>
        <item x="113"/>
        <item x="91"/>
        <item x="84"/>
        <item x="64"/>
        <item x="78"/>
        <item x="27"/>
        <item x="93"/>
        <item x="37"/>
        <item x="47"/>
        <item x="72"/>
        <item x="11"/>
        <item x="90"/>
        <item x="83"/>
        <item x="112"/>
        <item x="88"/>
        <item x="38"/>
        <item x="13"/>
        <item x="0"/>
        <item x="70"/>
        <item x="55"/>
        <item x="25"/>
        <item x="23"/>
        <item x="51"/>
        <item x="49"/>
        <item x="15"/>
        <item x="17"/>
        <item x="73"/>
        <item x="69"/>
        <item x="103"/>
        <item x="43"/>
        <item x="82"/>
        <item x="109"/>
        <item x="98"/>
        <item x="89"/>
        <item x="108"/>
        <item x="99"/>
        <item x="10"/>
        <item x="40"/>
        <item x="9"/>
        <item x="6"/>
        <item x="57"/>
        <item x="7"/>
        <item x="110"/>
        <item x="12"/>
        <item x="1"/>
        <item x="21"/>
        <item x="71"/>
        <item x="26"/>
        <item x="24"/>
        <item x="3"/>
        <item x="14"/>
        <item x="18"/>
        <item x="68"/>
        <item x="101"/>
        <item x="58"/>
        <item x="86"/>
        <item t="default"/>
      </items>
    </pivotField>
    <pivotField compact="0" showAll="0">
      <items count="274">
        <item x="145"/>
        <item x="147"/>
        <item x="4"/>
        <item x="24"/>
        <item x="242"/>
        <item x="9"/>
        <item x="22"/>
        <item x="56"/>
        <item x="150"/>
        <item x="31"/>
        <item x="33"/>
        <item x="21"/>
        <item x="25"/>
        <item x="11"/>
        <item x="19"/>
        <item x="30"/>
        <item x="2"/>
        <item x="220"/>
        <item x="175"/>
        <item x="154"/>
        <item x="15"/>
        <item x="233"/>
        <item x="209"/>
        <item x="87"/>
        <item x="192"/>
        <item x="59"/>
        <item x="111"/>
        <item x="5"/>
        <item x="174"/>
        <item x="98"/>
        <item x="152"/>
        <item x="36"/>
        <item x="210"/>
        <item x="195"/>
        <item x="12"/>
        <item x="16"/>
        <item x="231"/>
        <item x="67"/>
        <item x="115"/>
        <item x="80"/>
        <item x="72"/>
        <item x="188"/>
        <item x="185"/>
        <item x="236"/>
        <item x="53"/>
        <item x="65"/>
        <item x="189"/>
        <item x="103"/>
        <item x="107"/>
        <item x="117"/>
        <item x="7"/>
        <item x="104"/>
        <item x="99"/>
        <item x="120"/>
        <item x="55"/>
        <item x="243"/>
        <item x="94"/>
        <item x="173"/>
        <item x="116"/>
        <item x="179"/>
        <item x="82"/>
        <item x="132"/>
        <item x="256"/>
        <item x="163"/>
        <item x="182"/>
        <item x="122"/>
        <item x="235"/>
        <item x="253"/>
        <item x="230"/>
        <item x="198"/>
        <item x="167"/>
        <item x="211"/>
        <item x="264"/>
        <item x="267"/>
        <item x="81"/>
        <item x="219"/>
        <item x="214"/>
        <item x="266"/>
        <item x="51"/>
        <item x="109"/>
        <item x="149"/>
        <item x="227"/>
        <item x="108"/>
        <item x="136"/>
        <item x="228"/>
        <item x="215"/>
        <item x="52"/>
        <item x="64"/>
        <item x="225"/>
        <item x="121"/>
        <item x="88"/>
        <item x="95"/>
        <item x="131"/>
        <item x="196"/>
        <item x="260"/>
        <item x="271"/>
        <item x="240"/>
        <item x="238"/>
        <item x="239"/>
        <item x="18"/>
        <item x="23"/>
        <item x="249"/>
        <item x="199"/>
        <item x="252"/>
        <item x="28"/>
        <item x="86"/>
        <item x="142"/>
        <item x="68"/>
        <item x="90"/>
        <item x="197"/>
        <item x="0"/>
        <item x="26"/>
        <item x="66"/>
        <item x="32"/>
        <item x="218"/>
        <item x="79"/>
        <item x="118"/>
        <item x="263"/>
        <item x="114"/>
        <item x="258"/>
        <item x="169"/>
        <item x="69"/>
        <item x="245"/>
        <item x="166"/>
        <item x="160"/>
        <item x="92"/>
        <item x="164"/>
        <item x="153"/>
        <item x="168"/>
        <item x="105"/>
        <item x="113"/>
        <item x="270"/>
        <item x="155"/>
        <item x="129"/>
        <item x="247"/>
        <item x="27"/>
        <item x="57"/>
        <item x="40"/>
        <item x="42"/>
        <item x="127"/>
        <item x="208"/>
        <item x="223"/>
        <item x="204"/>
        <item x="34"/>
        <item x="110"/>
        <item x="272"/>
        <item x="244"/>
        <item x="77"/>
        <item x="45"/>
        <item x="50"/>
        <item x="35"/>
        <item x="203"/>
        <item x="148"/>
        <item x="141"/>
        <item x="200"/>
        <item x="229"/>
        <item x="63"/>
        <item x="75"/>
        <item x="222"/>
        <item x="17"/>
        <item x="6"/>
        <item x="250"/>
        <item x="248"/>
        <item x="158"/>
        <item x="143"/>
        <item x="205"/>
        <item x="268"/>
        <item x="47"/>
        <item x="224"/>
        <item x="139"/>
        <item x="48"/>
        <item x="29"/>
        <item x="221"/>
        <item x="3"/>
        <item x="1"/>
        <item x="241"/>
        <item x="100"/>
        <item x="251"/>
        <item x="58"/>
        <item x="161"/>
        <item x="61"/>
        <item x="91"/>
        <item x="20"/>
        <item x="176"/>
        <item x="254"/>
        <item x="13"/>
        <item x="259"/>
        <item x="261"/>
        <item x="133"/>
        <item x="8"/>
        <item x="170"/>
        <item x="97"/>
        <item x="60"/>
        <item x="201"/>
        <item x="74"/>
        <item x="84"/>
        <item x="78"/>
        <item x="156"/>
        <item x="102"/>
        <item x="106"/>
        <item x="123"/>
        <item x="181"/>
        <item x="138"/>
        <item x="178"/>
        <item x="43"/>
        <item x="157"/>
        <item x="212"/>
        <item x="135"/>
        <item x="83"/>
        <item x="128"/>
        <item x="76"/>
        <item x="257"/>
        <item x="46"/>
        <item x="85"/>
        <item x="140"/>
        <item x="54"/>
        <item x="124"/>
        <item x="191"/>
        <item x="246"/>
        <item x="62"/>
        <item x="41"/>
        <item x="71"/>
        <item x="202"/>
        <item x="14"/>
        <item x="73"/>
        <item x="39"/>
        <item x="159"/>
        <item x="234"/>
        <item x="96"/>
        <item x="216"/>
        <item x="151"/>
        <item x="183"/>
        <item x="194"/>
        <item x="269"/>
        <item x="125"/>
        <item x="186"/>
        <item x="206"/>
        <item x="126"/>
        <item x="130"/>
        <item x="171"/>
        <item x="232"/>
        <item x="44"/>
        <item x="184"/>
        <item x="207"/>
        <item x="187"/>
        <item x="165"/>
        <item x="112"/>
        <item x="37"/>
        <item x="10"/>
        <item x="262"/>
        <item x="70"/>
        <item x="213"/>
        <item x="162"/>
        <item x="255"/>
        <item x="237"/>
        <item x="144"/>
        <item x="89"/>
        <item x="172"/>
        <item x="101"/>
        <item x="119"/>
        <item x="193"/>
        <item x="93"/>
        <item x="134"/>
        <item x="180"/>
        <item x="38"/>
        <item x="226"/>
        <item x="177"/>
        <item x="265"/>
        <item x="217"/>
        <item x="146"/>
        <item x="190"/>
        <item x="49"/>
        <item x="137"/>
        <item t="default"/>
      </items>
    </pivotField>
    <pivotField compact="0" showAll="0">
      <items count="282">
        <item x="74"/>
        <item x="24"/>
        <item x="113"/>
        <item x="124"/>
        <item x="251"/>
        <item x="195"/>
        <item x="139"/>
        <item x="83"/>
        <item x="280"/>
        <item x="222"/>
        <item x="264"/>
        <item x="47"/>
        <item x="87"/>
        <item x="145"/>
        <item x="278"/>
        <item x="267"/>
        <item x="246"/>
        <item x="244"/>
        <item x="248"/>
        <item x="31"/>
        <item x="57"/>
        <item x="9"/>
        <item x="11"/>
        <item x="32"/>
        <item x="4"/>
        <item x="226"/>
        <item x="21"/>
        <item x="150"/>
        <item x="81"/>
        <item x="108"/>
        <item x="70"/>
        <item x="158"/>
        <item x="265"/>
        <item x="277"/>
        <item x="94"/>
        <item x="270"/>
        <item x="18"/>
        <item x="67"/>
        <item x="0"/>
        <item x="259"/>
        <item x="205"/>
        <item x="224"/>
        <item x="275"/>
        <item x="148"/>
        <item x="230"/>
        <item x="48"/>
        <item x="3"/>
        <item x="49"/>
        <item x="227"/>
        <item x="210"/>
        <item x="35"/>
        <item x="229"/>
        <item x="279"/>
        <item x="52"/>
        <item x="111"/>
        <item x="233"/>
        <item x="221"/>
        <item x="53"/>
        <item x="231"/>
        <item x="234"/>
        <item x="154"/>
        <item x="232"/>
        <item x="151"/>
        <item x="223"/>
        <item x="272"/>
        <item x="50"/>
        <item x="196"/>
        <item x="51"/>
        <item x="146"/>
        <item x="228"/>
        <item x="235"/>
        <item x="153"/>
        <item x="257"/>
        <item x="17"/>
        <item x="209"/>
        <item x="260"/>
        <item x="187"/>
        <item x="204"/>
        <item x="236"/>
        <item x="274"/>
        <item x="217"/>
        <item x="241"/>
        <item x="273"/>
        <item x="271"/>
        <item x="225"/>
        <item x="245"/>
        <item x="2"/>
        <item x="155"/>
        <item x="22"/>
        <item x="19"/>
        <item x="34"/>
        <item x="25"/>
        <item x="180"/>
        <item x="26"/>
        <item x="152"/>
        <item x="122"/>
        <item x="117"/>
        <item x="173"/>
        <item x="174"/>
        <item x="169"/>
        <item x="118"/>
        <item x="23"/>
        <item x="33"/>
        <item x="27"/>
        <item x="29"/>
        <item x="256"/>
        <item x="144"/>
        <item x="1"/>
        <item x="30"/>
        <item x="114"/>
        <item x="112"/>
        <item x="141"/>
        <item x="65"/>
        <item x="125"/>
        <item x="182"/>
        <item x="142"/>
        <item x="36"/>
        <item x="206"/>
        <item x="64"/>
        <item x="6"/>
        <item x="126"/>
        <item x="172"/>
        <item x="220"/>
        <item x="138"/>
        <item x="211"/>
        <item x="255"/>
        <item x="214"/>
        <item x="56"/>
        <item x="263"/>
        <item x="15"/>
        <item x="261"/>
        <item x="13"/>
        <item x="266"/>
        <item x="269"/>
        <item x="71"/>
        <item x="8"/>
        <item x="175"/>
        <item x="10"/>
        <item x="128"/>
        <item x="197"/>
        <item x="157"/>
        <item x="37"/>
        <item x="216"/>
        <item x="132"/>
        <item x="78"/>
        <item x="262"/>
        <item x="243"/>
        <item x="149"/>
        <item x="185"/>
        <item x="39"/>
        <item x="163"/>
        <item x="192"/>
        <item x="100"/>
        <item x="168"/>
        <item x="156"/>
        <item x="188"/>
        <item x="200"/>
        <item x="80"/>
        <item x="109"/>
        <item x="140"/>
        <item x="161"/>
        <item x="55"/>
        <item x="268"/>
        <item x="99"/>
        <item x="61"/>
        <item x="207"/>
        <item x="201"/>
        <item x="12"/>
        <item x="16"/>
        <item x="86"/>
        <item x="107"/>
        <item x="160"/>
        <item x="133"/>
        <item x="136"/>
        <item x="170"/>
        <item x="116"/>
        <item x="38"/>
        <item x="88"/>
        <item x="147"/>
        <item x="69"/>
        <item x="92"/>
        <item x="101"/>
        <item x="77"/>
        <item x="203"/>
        <item x="162"/>
        <item x="143"/>
        <item x="75"/>
        <item x="40"/>
        <item x="164"/>
        <item x="159"/>
        <item x="253"/>
        <item x="63"/>
        <item x="42"/>
        <item x="72"/>
        <item x="208"/>
        <item x="14"/>
        <item x="240"/>
        <item x="167"/>
        <item x="250"/>
        <item x="79"/>
        <item x="46"/>
        <item x="130"/>
        <item x="134"/>
        <item x="254"/>
        <item x="28"/>
        <item x="58"/>
        <item x="41"/>
        <item x="43"/>
        <item x="276"/>
        <item x="129"/>
        <item x="191"/>
        <item x="212"/>
        <item x="90"/>
        <item x="97"/>
        <item x="135"/>
        <item x="131"/>
        <item x="176"/>
        <item x="237"/>
        <item x="68"/>
        <item x="119"/>
        <item x="82"/>
        <item x="73"/>
        <item x="247"/>
        <item x="102"/>
        <item x="258"/>
        <item x="59"/>
        <item x="166"/>
        <item x="62"/>
        <item x="93"/>
        <item x="20"/>
        <item x="181"/>
        <item x="177"/>
        <item x="103"/>
        <item x="123"/>
        <item x="219"/>
        <item x="193"/>
        <item x="190"/>
        <item x="76"/>
        <item x="98"/>
        <item x="249"/>
        <item x="96"/>
        <item x="178"/>
        <item x="120"/>
        <item x="184"/>
        <item x="84"/>
        <item x="242"/>
        <item x="54"/>
        <item x="66"/>
        <item x="194"/>
        <item x="106"/>
        <item x="110"/>
        <item x="121"/>
        <item x="7"/>
        <item x="252"/>
        <item x="171"/>
        <item x="104"/>
        <item x="202"/>
        <item x="199"/>
        <item x="95"/>
        <item x="238"/>
        <item x="45"/>
        <item x="239"/>
        <item x="215"/>
        <item x="89"/>
        <item x="198"/>
        <item x="60"/>
        <item x="137"/>
        <item x="213"/>
        <item x="165"/>
        <item x="115"/>
        <item x="5"/>
        <item x="179"/>
        <item x="189"/>
        <item x="127"/>
        <item x="186"/>
        <item x="85"/>
        <item x="44"/>
        <item x="183"/>
        <item x="105"/>
        <item x="91"/>
        <item x="218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7">
        <item x="33"/>
        <item x="23"/>
        <item x="34"/>
        <item x="32"/>
        <item x="24"/>
        <item x="30"/>
        <item x="31"/>
        <item x="22"/>
        <item x="9"/>
        <item x="8"/>
        <item x="17"/>
        <item x="7"/>
        <item x="14"/>
        <item x="6"/>
        <item x="18"/>
        <item x="5"/>
        <item x="15"/>
        <item x="1"/>
        <item x="16"/>
        <item x="0"/>
        <item x="25"/>
        <item x="2"/>
        <item x="21"/>
        <item x="4"/>
        <item x="26"/>
        <item x="35"/>
        <item x="3"/>
        <item x="19"/>
        <item x="10"/>
        <item x="20"/>
        <item x="11"/>
        <item x="12"/>
        <item x="13"/>
        <item x="27"/>
        <item x="28"/>
        <item x="29"/>
        <item t="default"/>
      </items>
    </pivotField>
    <pivotField compact="0" showAll="0">
      <items count="37">
        <item x="33"/>
        <item x="23"/>
        <item x="34"/>
        <item x="32"/>
        <item x="24"/>
        <item x="30"/>
        <item x="31"/>
        <item x="22"/>
        <item x="9"/>
        <item x="8"/>
        <item x="17"/>
        <item x="7"/>
        <item x="14"/>
        <item x="6"/>
        <item x="18"/>
        <item x="5"/>
        <item x="15"/>
        <item x="1"/>
        <item x="16"/>
        <item x="0"/>
        <item x="25"/>
        <item x="2"/>
        <item x="21"/>
        <item x="4"/>
        <item x="26"/>
        <item x="35"/>
        <item x="3"/>
        <item x="19"/>
        <item x="10"/>
        <item x="20"/>
        <item x="11"/>
        <item x="12"/>
        <item x="13"/>
        <item x="27"/>
        <item x="28"/>
        <item x="29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413">
        <item x="22"/>
        <item x="30"/>
        <item x="156"/>
        <item x="331"/>
        <item x="312"/>
        <item x="150"/>
        <item x="264"/>
        <item x="34"/>
        <item x="362"/>
        <item x="294"/>
        <item x="263"/>
        <item x="315"/>
        <item x="171"/>
        <item x="80"/>
        <item x="86"/>
        <item x="27"/>
        <item x="102"/>
        <item x="90"/>
        <item x="103"/>
        <item x="61"/>
        <item x="354"/>
        <item x="370"/>
        <item x="371"/>
        <item x="363"/>
        <item x="175"/>
        <item x="105"/>
        <item x="266"/>
        <item x="166"/>
        <item x="215"/>
        <item x="89"/>
        <item x="88"/>
        <item x="23"/>
        <item x="355"/>
        <item x="373"/>
        <item x="372"/>
        <item x="350"/>
        <item x="262"/>
        <item x="365"/>
        <item x="378"/>
        <item x="40"/>
        <item x="357"/>
        <item x="20"/>
        <item x="140"/>
        <item x="167"/>
        <item x="132"/>
        <item x="152"/>
        <item x="159"/>
        <item x="87"/>
        <item x="76"/>
        <item x="79"/>
        <item x="267"/>
        <item x="139"/>
        <item x="259"/>
        <item x="295"/>
        <item x="279"/>
        <item x="366"/>
        <item x="77"/>
        <item x="78"/>
        <item x="85"/>
        <item x="81"/>
        <item x="151"/>
        <item x="280"/>
        <item x="334"/>
        <item x="335"/>
        <item x="84"/>
        <item x="240"/>
        <item x="318"/>
        <item x="153"/>
        <item x="136"/>
        <item x="158"/>
        <item x="101"/>
        <item x="100"/>
        <item x="21"/>
        <item x="358"/>
        <item x="192"/>
        <item x="330"/>
        <item x="125"/>
        <item x="19"/>
        <item x="314"/>
        <item x="313"/>
        <item x="292"/>
        <item x="291"/>
        <item x="238"/>
        <item x="149"/>
        <item x="356"/>
        <item x="380"/>
        <item x="75"/>
        <item x="25"/>
        <item x="367"/>
        <item x="360"/>
        <item x="359"/>
        <item x="368"/>
        <item x="352"/>
        <item x="353"/>
        <item x="351"/>
        <item x="28"/>
        <item x="214"/>
        <item x="55"/>
        <item x="256"/>
        <item x="268"/>
        <item x="64"/>
        <item x="239"/>
        <item x="245"/>
        <item x="115"/>
        <item x="248"/>
        <item x="1"/>
        <item x="65"/>
        <item x="73"/>
        <item x="29"/>
        <item x="54"/>
        <item x="26"/>
        <item x="83"/>
        <item x="72"/>
        <item x="155"/>
        <item x="376"/>
        <item x="374"/>
        <item x="336"/>
        <item x="218"/>
        <item x="216"/>
        <item x="113"/>
        <item x="70"/>
        <item x="59"/>
        <item x="287"/>
        <item x="144"/>
        <item x="117"/>
        <item x="165"/>
        <item x="178"/>
        <item x="52"/>
        <item x="154"/>
        <item x="69"/>
        <item x="94"/>
        <item x="129"/>
        <item x="229"/>
        <item x="160"/>
        <item x="147"/>
        <item x="293"/>
        <item x="377"/>
        <item x="58"/>
        <item x="200"/>
        <item x="124"/>
        <item x="226"/>
        <item x="122"/>
        <item x="123"/>
        <item x="326"/>
        <item x="67"/>
        <item x="5"/>
        <item x="49"/>
        <item x="74"/>
        <item x="162"/>
        <item x="221"/>
        <item x="2"/>
        <item x="43"/>
        <item x="164"/>
        <item x="56"/>
        <item x="57"/>
        <item x="60"/>
        <item x="323"/>
        <item x="107"/>
        <item x="32"/>
        <item x="11"/>
        <item x="253"/>
        <item x="220"/>
        <item x="222"/>
        <item x="281"/>
        <item x="265"/>
        <item x="189"/>
        <item x="219"/>
        <item x="33"/>
        <item x="148"/>
        <item x="254"/>
        <item x="257"/>
        <item x="177"/>
        <item x="176"/>
        <item x="66"/>
        <item x="91"/>
        <item x="317"/>
        <item x="8"/>
        <item x="228"/>
        <item x="305"/>
        <item x="47"/>
        <item x="12"/>
        <item x="18"/>
        <item x="300"/>
        <item x="250"/>
        <item x="235"/>
        <item x="311"/>
        <item x="10"/>
        <item x="277"/>
        <item x="276"/>
        <item x="183"/>
        <item x="286"/>
        <item x="207"/>
        <item x="255"/>
        <item x="97"/>
        <item x="96"/>
        <item x="161"/>
        <item x="379"/>
        <item x="297"/>
        <item x="234"/>
        <item x="223"/>
        <item x="68"/>
        <item x="408"/>
        <item x="298"/>
        <item x="82"/>
        <item x="99"/>
        <item x="13"/>
        <item x="39"/>
        <item x="14"/>
        <item x="17"/>
        <item x="236"/>
        <item x="16"/>
        <item x="389"/>
        <item x="384"/>
        <item x="387"/>
        <item x="388"/>
        <item x="382"/>
        <item x="386"/>
        <item x="391"/>
        <item x="390"/>
        <item x="395"/>
        <item x="385"/>
        <item x="396"/>
        <item x="392"/>
        <item x="381"/>
        <item x="394"/>
        <item x="227"/>
        <item x="210"/>
        <item x="131"/>
        <item x="71"/>
        <item x="127"/>
        <item x="208"/>
        <item x="383"/>
        <item x="319"/>
        <item x="169"/>
        <item x="37"/>
        <item x="397"/>
        <item x="92"/>
        <item x="196"/>
        <item x="98"/>
        <item x="375"/>
        <item x="237"/>
        <item x="138"/>
        <item x="364"/>
        <item x="45"/>
        <item x="143"/>
        <item x="285"/>
        <item x="258"/>
        <item x="4"/>
        <item x="393"/>
        <item x="307"/>
        <item x="308"/>
        <item x="134"/>
        <item x="241"/>
        <item x="399"/>
        <item x="275"/>
        <item x="41"/>
        <item x="63"/>
        <item x="205"/>
        <item x="320"/>
        <item x="337"/>
        <item x="232"/>
        <item x="106"/>
        <item x="118"/>
        <item x="324"/>
        <item x="182"/>
        <item x="202"/>
        <item x="174"/>
        <item x="173"/>
        <item x="172"/>
        <item x="15"/>
        <item x="204"/>
        <item x="184"/>
        <item x="62"/>
        <item x="333"/>
        <item x="246"/>
        <item x="401"/>
        <item x="249"/>
        <item x="278"/>
        <item x="282"/>
        <item x="398"/>
        <item x="0"/>
        <item x="3"/>
        <item x="346"/>
        <item x="209"/>
        <item x="332"/>
        <item x="403"/>
        <item x="299"/>
        <item x="141"/>
        <item x="284"/>
        <item x="270"/>
        <item x="283"/>
        <item x="271"/>
        <item x="110"/>
        <item x="114"/>
        <item x="231"/>
        <item x="120"/>
        <item x="121"/>
        <item x="31"/>
        <item x="7"/>
        <item x="108"/>
        <item x="6"/>
        <item x="9"/>
        <item x="187"/>
        <item x="145"/>
        <item x="197"/>
        <item x="126"/>
        <item x="410"/>
        <item x="310"/>
        <item x="328"/>
        <item x="321"/>
        <item x="329"/>
        <item x="195"/>
        <item x="340"/>
        <item x="343"/>
        <item x="137"/>
        <item x="296"/>
        <item x="344"/>
        <item x="309"/>
        <item x="44"/>
        <item x="133"/>
        <item x="191"/>
        <item x="274"/>
        <item x="230"/>
        <item x="303"/>
        <item x="163"/>
        <item x="224"/>
        <item x="51"/>
        <item x="142"/>
        <item x="168"/>
        <item x="35"/>
        <item x="242"/>
        <item x="109"/>
        <item x="53"/>
        <item x="42"/>
        <item x="50"/>
        <item x="260"/>
        <item x="406"/>
        <item x="225"/>
        <item x="206"/>
        <item x="193"/>
        <item x="243"/>
        <item x="407"/>
        <item x="400"/>
        <item x="289"/>
        <item x="244"/>
        <item x="272"/>
        <item x="111"/>
        <item x="112"/>
        <item x="213"/>
        <item x="339"/>
        <item x="348"/>
        <item x="128"/>
        <item x="116"/>
        <item x="198"/>
        <item x="302"/>
        <item x="322"/>
        <item x="157"/>
        <item x="201"/>
        <item x="170"/>
        <item x="199"/>
        <item x="135"/>
        <item x="194"/>
        <item x="347"/>
        <item x="181"/>
        <item x="190"/>
        <item x="325"/>
        <item x="251"/>
        <item x="402"/>
        <item x="273"/>
        <item x="186"/>
        <item x="405"/>
        <item x="316"/>
        <item x="188"/>
        <item x="233"/>
        <item x="304"/>
        <item x="290"/>
        <item x="146"/>
        <item x="203"/>
        <item x="104"/>
        <item x="179"/>
        <item x="269"/>
        <item x="252"/>
        <item x="212"/>
        <item x="211"/>
        <item x="24"/>
        <item x="338"/>
        <item x="306"/>
        <item x="341"/>
        <item x="404"/>
        <item x="95"/>
        <item x="119"/>
        <item x="130"/>
        <item x="93"/>
        <item x="261"/>
        <item x="301"/>
        <item x="46"/>
        <item x="185"/>
        <item x="36"/>
        <item x="247"/>
        <item x="345"/>
        <item x="409"/>
        <item x="411"/>
        <item x="288"/>
        <item x="180"/>
        <item x="342"/>
        <item x="48"/>
        <item x="327"/>
        <item x="217"/>
        <item x="361"/>
        <item x="369"/>
        <item x="38"/>
        <item x="349"/>
        <item t="default"/>
      </items>
    </pivotField>
    <pivotField compact="0" showAll="0">
      <items count="11">
        <item x="0"/>
        <item x="7"/>
        <item x="8"/>
        <item x="3"/>
        <item x="9"/>
        <item x="4"/>
        <item x="5"/>
        <item x="6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5">
        <item x="0"/>
        <item x="45"/>
        <item x="46"/>
        <item x="47"/>
        <item x="50"/>
        <item x="48"/>
        <item x="52"/>
        <item x="51"/>
        <item x="49"/>
        <item x="12"/>
        <item x="18"/>
        <item x="1"/>
        <item x="22"/>
        <item x="23"/>
        <item x="21"/>
        <item x="4"/>
        <item x="32"/>
        <item x="33"/>
        <item x="28"/>
        <item x="10"/>
        <item x="30"/>
        <item x="13"/>
        <item x="24"/>
        <item x="11"/>
        <item x="9"/>
        <item x="3"/>
        <item x="27"/>
        <item x="31"/>
        <item x="5"/>
        <item x="7"/>
        <item x="8"/>
        <item x="6"/>
        <item x="15"/>
        <item x="35"/>
        <item x="34"/>
        <item x="2"/>
        <item x="14"/>
        <item x="19"/>
        <item x="29"/>
        <item x="20"/>
        <item x="17"/>
        <item x="25"/>
        <item x="26"/>
        <item x="16"/>
        <item x="42"/>
        <item x="38"/>
        <item x="40"/>
        <item x="39"/>
        <item x="43"/>
        <item x="41"/>
        <item x="37"/>
        <item x="36"/>
        <item x="44"/>
        <item x="53"/>
        <item t="default"/>
      </items>
    </pivotField>
    <pivotField compact="0" showAll="0">
      <items count="11">
        <item x="0"/>
        <item x="2"/>
        <item x="1"/>
        <item x="3"/>
        <item x="4"/>
        <item x="5"/>
        <item x="9"/>
        <item x="7"/>
        <item x="8"/>
        <item x="6"/>
        <item t="default"/>
      </items>
    </pivotField>
    <pivotField compact="0" showAll="0">
      <items count="11">
        <item x="8"/>
        <item x="0"/>
        <item x="2"/>
        <item x="1"/>
        <item x="3"/>
        <item x="4"/>
        <item x="5"/>
        <item x="9"/>
        <item x="7"/>
        <item x="6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4"/>
        <item x="2"/>
        <item x="0"/>
        <item x="1"/>
        <item x="5"/>
        <item x="3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56">
        <item x="1"/>
        <item x="54"/>
        <item x="22"/>
        <item x="50"/>
        <item x="10"/>
        <item x="51"/>
        <item x="53"/>
        <item x="16"/>
        <item x="52"/>
        <item x="20"/>
        <item x="11"/>
        <item x="28"/>
        <item x="17"/>
        <item x="0"/>
        <item x="29"/>
        <item x="3"/>
        <item x="24"/>
        <item x="21"/>
        <item x="8"/>
        <item x="36"/>
        <item x="30"/>
        <item x="15"/>
        <item x="18"/>
        <item x="27"/>
        <item x="5"/>
        <item x="19"/>
        <item x="2"/>
        <item x="23"/>
        <item x="14"/>
        <item x="26"/>
        <item x="9"/>
        <item x="12"/>
        <item x="4"/>
        <item x="25"/>
        <item x="7"/>
        <item x="31"/>
        <item x="49"/>
        <item x="6"/>
        <item x="13"/>
        <item x="35"/>
        <item x="44"/>
        <item x="42"/>
        <item x="38"/>
        <item x="39"/>
        <item x="32"/>
        <item x="33"/>
        <item x="48"/>
        <item x="45"/>
        <item x="43"/>
        <item x="37"/>
        <item x="40"/>
        <item x="41"/>
        <item x="34"/>
        <item x="47"/>
        <item x="46"/>
        <item t="default"/>
      </items>
    </pivotField>
    <pivotField compact="0" showAll="0">
      <items count="241">
        <item x="1"/>
        <item x="212"/>
        <item x="207"/>
        <item x="216"/>
        <item x="209"/>
        <item x="198"/>
        <item x="28"/>
        <item x="27"/>
        <item x="223"/>
        <item x="71"/>
        <item x="214"/>
        <item x="46"/>
        <item x="135"/>
        <item x="189"/>
        <item x="238"/>
        <item x="44"/>
        <item x="48"/>
        <item x="210"/>
        <item x="124"/>
        <item x="233"/>
        <item x="39"/>
        <item x="225"/>
        <item x="19"/>
        <item x="203"/>
        <item x="228"/>
        <item x="213"/>
        <item x="10"/>
        <item x="190"/>
        <item x="224"/>
        <item x="204"/>
        <item x="230"/>
        <item x="206"/>
        <item x="217"/>
        <item x="211"/>
        <item x="31"/>
        <item x="236"/>
        <item x="64"/>
        <item x="126"/>
        <item x="195"/>
        <item x="178"/>
        <item x="63"/>
        <item x="234"/>
        <item x="33"/>
        <item x="60"/>
        <item x="29"/>
        <item x="68"/>
        <item x="171"/>
        <item x="125"/>
        <item x="187"/>
        <item x="37"/>
        <item x="53"/>
        <item x="201"/>
        <item x="182"/>
        <item x="208"/>
        <item x="180"/>
        <item x="232"/>
        <item x="25"/>
        <item x="62"/>
        <item x="11"/>
        <item x="194"/>
        <item x="52"/>
        <item x="69"/>
        <item x="179"/>
        <item x="47"/>
        <item x="36"/>
        <item x="130"/>
        <item x="55"/>
        <item x="40"/>
        <item x="181"/>
        <item x="42"/>
        <item x="67"/>
        <item x="122"/>
        <item x="43"/>
        <item x="229"/>
        <item x="21"/>
        <item x="12"/>
        <item x="45"/>
        <item x="20"/>
        <item x="215"/>
        <item x="89"/>
        <item x="56"/>
        <item x="205"/>
        <item x="41"/>
        <item x="32"/>
        <item x="172"/>
        <item x="61"/>
        <item x="104"/>
        <item x="235"/>
        <item x="162"/>
        <item x="95"/>
        <item x="226"/>
        <item x="106"/>
        <item x="72"/>
        <item x="70"/>
        <item x="186"/>
        <item x="227"/>
        <item x="107"/>
        <item x="200"/>
        <item x="8"/>
        <item x="86"/>
        <item x="88"/>
        <item x="128"/>
        <item x="237"/>
        <item x="163"/>
        <item x="30"/>
        <item x="174"/>
        <item x="197"/>
        <item x="81"/>
        <item x="110"/>
        <item x="93"/>
        <item x="35"/>
        <item x="199"/>
        <item x="54"/>
        <item x="66"/>
        <item x="105"/>
        <item x="218"/>
        <item x="87"/>
        <item x="26"/>
        <item x="51"/>
        <item x="98"/>
        <item x="109"/>
        <item x="85"/>
        <item x="193"/>
        <item x="24"/>
        <item x="117"/>
        <item x="65"/>
        <item x="0"/>
        <item x="164"/>
        <item x="157"/>
        <item x="94"/>
        <item x="169"/>
        <item x="99"/>
        <item x="34"/>
        <item x="160"/>
        <item x="115"/>
        <item x="132"/>
        <item x="13"/>
        <item x="16"/>
        <item x="121"/>
        <item x="3"/>
        <item x="183"/>
        <item x="196"/>
        <item x="142"/>
        <item x="14"/>
        <item x="73"/>
        <item x="18"/>
        <item x="188"/>
        <item x="74"/>
        <item x="219"/>
        <item x="15"/>
        <item x="17"/>
        <item x="220"/>
        <item x="108"/>
        <item x="165"/>
        <item x="161"/>
        <item x="84"/>
        <item x="59"/>
        <item x="50"/>
        <item x="9"/>
        <item x="127"/>
        <item x="123"/>
        <item x="102"/>
        <item x="80"/>
        <item x="191"/>
        <item x="38"/>
        <item x="222"/>
        <item x="167"/>
        <item x="49"/>
        <item x="158"/>
        <item x="151"/>
        <item x="92"/>
        <item x="79"/>
        <item x="101"/>
        <item x="239"/>
        <item x="120"/>
        <item x="58"/>
        <item x="91"/>
        <item x="22"/>
        <item x="170"/>
        <item x="133"/>
        <item x="2"/>
        <item x="177"/>
        <item x="57"/>
        <item x="192"/>
        <item x="103"/>
        <item x="77"/>
        <item x="141"/>
        <item x="23"/>
        <item x="168"/>
        <item x="129"/>
        <item x="112"/>
        <item x="111"/>
        <item x="75"/>
        <item x="82"/>
        <item x="148"/>
        <item x="185"/>
        <item x="113"/>
        <item x="138"/>
        <item x="175"/>
        <item x="156"/>
        <item x="159"/>
        <item x="147"/>
        <item x="83"/>
        <item x="78"/>
        <item x="5"/>
        <item x="140"/>
        <item x="134"/>
        <item x="96"/>
        <item x="176"/>
        <item x="202"/>
        <item x="97"/>
        <item x="166"/>
        <item x="4"/>
        <item x="76"/>
        <item x="118"/>
        <item x="149"/>
        <item x="7"/>
        <item x="221"/>
        <item x="153"/>
        <item x="90"/>
        <item x="139"/>
        <item x="137"/>
        <item x="173"/>
        <item x="231"/>
        <item x="150"/>
        <item x="6"/>
        <item x="131"/>
        <item x="116"/>
        <item x="119"/>
        <item x="155"/>
        <item x="146"/>
        <item x="100"/>
        <item x="114"/>
        <item x="143"/>
        <item x="184"/>
        <item x="136"/>
        <item x="145"/>
        <item x="144"/>
        <item x="154"/>
        <item x="152"/>
        <item t="default"/>
      </items>
    </pivotField>
    <pivotField axis="axisPage" compact="0" multipleItemSelectionAllowed="1" showAll="0">
      <items count="3">
        <item x="0"/>
        <item h="1" x="1"/>
        <item t="default"/>
      </items>
    </pivotField>
  </pivotFields>
  <rowFields count="1">
    <field x="27"/>
  </rowFields>
  <rowItems count="6">
    <i>
      <x/>
    </i>
    <i>
      <x v="2"/>
    </i>
    <i>
      <x v="3"/>
    </i>
    <i>
      <x v="5"/>
    </i>
    <i>
      <x v="6"/>
    </i>
    <i t="grand">
      <x/>
    </i>
  </rowItems>
  <colFields count="1">
    <field x="29"/>
  </colFields>
  <colItems count="2">
    <i>
      <x/>
    </i>
    <i t="grand">
      <x/>
    </i>
  </colItems>
  <pageFields count="1">
    <pageField fld="67"/>
  </pageFields>
  <dataFields count="1">
    <dataField name="求和项:款数" fld="2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10" firstHeaderRow="1" firstDataRow="2" firstDataCol="1"/>
  <pivotFields count="17">
    <pivotField compact="0" showAll="0">
      <items count="7">
        <item x="3"/>
        <item x="2"/>
        <item x="1"/>
        <item x="5"/>
        <item x="0"/>
        <item x="4"/>
        <item t="default"/>
      </items>
    </pivotField>
    <pivotField compact="0" showAll="0">
      <items count="22">
        <item x="6"/>
        <item x="5"/>
        <item x="0"/>
        <item x="12"/>
        <item x="11"/>
        <item x="7"/>
        <item x="9"/>
        <item x="1"/>
        <item x="13"/>
        <item x="2"/>
        <item x="4"/>
        <item x="3"/>
        <item x="16"/>
        <item x="15"/>
        <item x="14"/>
        <item x="8"/>
        <item x="10"/>
        <item x="17"/>
        <item x="19"/>
        <item x="20"/>
        <item x="18"/>
        <item t="default"/>
      </items>
    </pivotField>
    <pivotField compact="0" showAll="0">
      <items count="21">
        <item x="0"/>
        <item x="17"/>
        <item x="1"/>
        <item x="3"/>
        <item x="2"/>
        <item x="19"/>
        <item x="9"/>
        <item x="10"/>
        <item x="5"/>
        <item x="15"/>
        <item x="14"/>
        <item x="4"/>
        <item x="13"/>
        <item x="16"/>
        <item x="8"/>
        <item x="11"/>
        <item x="7"/>
        <item x="6"/>
        <item x="12"/>
        <item x="18"/>
        <item t="default"/>
      </items>
    </pivotField>
    <pivotField compact="0" showAll="0">
      <items count="23">
        <item x="9"/>
        <item x="0"/>
        <item x="13"/>
        <item x="8"/>
        <item x="1"/>
        <item x="2"/>
        <item x="12"/>
        <item x="18"/>
        <item x="4"/>
        <item x="14"/>
        <item x="3"/>
        <item x="5"/>
        <item x="15"/>
        <item x="7"/>
        <item x="16"/>
        <item x="17"/>
        <item x="11"/>
        <item x="19"/>
        <item x="20"/>
        <item x="21"/>
        <item x="10"/>
        <item x="6"/>
        <item t="default"/>
      </items>
    </pivotField>
    <pivotField compact="0" showAll="0">
      <items count="8">
        <item x="5"/>
        <item x="4"/>
        <item x="6"/>
        <item x="3"/>
        <item x="0"/>
        <item x="2"/>
        <item x="1"/>
        <item t="default"/>
      </items>
    </pivotField>
    <pivotField compact="0" showAll="0">
      <items count="411">
        <item x="409"/>
        <item x="249"/>
        <item x="293"/>
        <item x="99"/>
        <item x="98"/>
        <item x="97"/>
        <item x="103"/>
        <item x="102"/>
        <item x="101"/>
        <item x="100"/>
        <item x="25"/>
        <item x="309"/>
        <item x="26"/>
        <item x="310"/>
        <item x="27"/>
        <item x="28"/>
        <item x="29"/>
        <item x="12"/>
        <item x="334"/>
        <item x="333"/>
        <item x="18"/>
        <item x="19"/>
        <item x="20"/>
        <item x="133"/>
        <item x="134"/>
        <item x="137"/>
        <item x="139"/>
        <item x="138"/>
        <item x="10"/>
        <item x="11"/>
        <item x="35"/>
        <item x="47"/>
        <item x="48"/>
        <item x="326"/>
        <item x="327"/>
        <item x="135"/>
        <item x="136"/>
        <item x="131"/>
        <item x="132"/>
        <item x="407"/>
        <item x="226"/>
        <item x="224"/>
        <item x="225"/>
        <item x="316"/>
        <item x="58"/>
        <item x="59"/>
        <item x="105"/>
        <item x="104"/>
        <item x="307"/>
        <item x="15"/>
        <item x="143"/>
        <item x="248"/>
        <item x="317"/>
        <item x="140"/>
        <item x="141"/>
        <item x="142"/>
        <item x="306"/>
        <item x="108"/>
        <item x="86"/>
        <item x="107"/>
        <item x="22"/>
        <item x="336"/>
        <item x="335"/>
        <item x="36"/>
        <item x="312"/>
        <item x="313"/>
        <item x="314"/>
        <item x="315"/>
        <item x="117"/>
        <item x="118"/>
        <item x="119"/>
        <item x="120"/>
        <item x="37"/>
        <item x="89"/>
        <item x="88"/>
        <item x="87"/>
        <item x="24"/>
        <item x="53"/>
        <item x="343"/>
        <item x="340"/>
        <item x="341"/>
        <item x="322"/>
        <item x="323"/>
        <item x="45"/>
        <item x="46"/>
        <item x="324"/>
        <item x="325"/>
        <item x="318"/>
        <item x="121"/>
        <item x="122"/>
        <item x="123"/>
        <item x="229"/>
        <item x="84"/>
        <item x="83"/>
        <item x="31"/>
        <item x="308"/>
        <item x="14"/>
        <item x="237"/>
        <item x="238"/>
        <item x="114"/>
        <item x="116"/>
        <item x="113"/>
        <item x="115"/>
        <item x="13"/>
        <item x="240"/>
        <item x="234"/>
        <item x="328"/>
        <item x="49"/>
        <item x="329"/>
        <item x="330"/>
        <item x="319"/>
        <item x="320"/>
        <item x="40"/>
        <item x="41"/>
        <item x="321"/>
        <item x="111"/>
        <item x="112"/>
        <item x="332"/>
        <item x="403"/>
        <item x="405"/>
        <item x="235"/>
        <item x="233"/>
        <item x="223"/>
        <item x="96"/>
        <item x="95"/>
        <item x="94"/>
        <item x="93"/>
        <item x="110"/>
        <item x="92"/>
        <item x="109"/>
        <item x="23"/>
        <item x="311"/>
        <item x="34"/>
        <item x="91"/>
        <item x="338"/>
        <item x="236"/>
        <item x="16"/>
        <item x="17"/>
        <item x="128"/>
        <item x="129"/>
        <item x="130"/>
        <item x="296"/>
        <item x="38"/>
        <item x="39"/>
        <item x="50"/>
        <item x="51"/>
        <item x="52"/>
        <item x="331"/>
        <item x="42"/>
        <item x="43"/>
        <item x="9"/>
        <item x="44"/>
        <item x="126"/>
        <item x="127"/>
        <item x="222"/>
        <item x="239"/>
        <item x="231"/>
        <item x="230"/>
        <item x="232"/>
        <item x="295"/>
        <item x="30"/>
        <item x="342"/>
        <item x="339"/>
        <item x="337"/>
        <item x="69"/>
        <item x="70"/>
        <item x="71"/>
        <item x="54"/>
        <item x="68"/>
        <item x="72"/>
        <item x="76"/>
        <item x="90"/>
        <item x="21"/>
        <item x="124"/>
        <item x="125"/>
        <item x="227"/>
        <item x="228"/>
        <item x="32"/>
        <item x="33"/>
        <item x="85"/>
        <item x="408"/>
        <item x="60"/>
        <item x="61"/>
        <item x="62"/>
        <item x="63"/>
        <item x="64"/>
        <item x="65"/>
        <item x="66"/>
        <item x="77"/>
        <item x="78"/>
        <item x="55"/>
        <item x="73"/>
        <item x="74"/>
        <item x="67"/>
        <item x="368"/>
        <item x="171"/>
        <item x="369"/>
        <item x="370"/>
        <item x="172"/>
        <item x="366"/>
        <item x="367"/>
        <item x="168"/>
        <item x="169"/>
        <item x="170"/>
        <item x="363"/>
        <item x="364"/>
        <item x="166"/>
        <item x="167"/>
        <item x="365"/>
        <item x="165"/>
        <item x="163"/>
        <item x="164"/>
        <item x="371"/>
        <item x="160"/>
        <item x="357"/>
        <item x="358"/>
        <item x="159"/>
        <item x="359"/>
        <item x="360"/>
        <item x="361"/>
        <item x="161"/>
        <item x="362"/>
        <item x="162"/>
        <item x="406"/>
        <item x="57"/>
        <item x="75"/>
        <item x="351"/>
        <item x="352"/>
        <item x="354"/>
        <item x="5"/>
        <item x="4"/>
        <item x="7"/>
        <item x="280"/>
        <item x="202"/>
        <item x="279"/>
        <item x="267"/>
        <item x="266"/>
        <item x="265"/>
        <item x="3"/>
        <item x="6"/>
        <item x="203"/>
        <item x="2"/>
        <item x="278"/>
        <item x="277"/>
        <item x="276"/>
        <item x="275"/>
        <item x="274"/>
        <item x="273"/>
        <item x="272"/>
        <item x="198"/>
        <item x="197"/>
        <item x="192"/>
        <item x="269"/>
        <item x="268"/>
        <item x="271"/>
        <item x="270"/>
        <item x="193"/>
        <item x="294"/>
        <item x="219"/>
        <item x="221"/>
        <item x="56"/>
        <item x="82"/>
        <item x="81"/>
        <item x="80"/>
        <item x="79"/>
        <item x="390"/>
        <item x="389"/>
        <item x="387"/>
        <item x="388"/>
        <item x="179"/>
        <item x="178"/>
        <item x="382"/>
        <item x="250"/>
        <item x="381"/>
        <item x="380"/>
        <item x="304"/>
        <item x="305"/>
        <item x="384"/>
        <item x="386"/>
        <item x="385"/>
        <item x="144"/>
        <item x="145"/>
        <item x="383"/>
        <item x="176"/>
        <item x="177"/>
        <item x="184"/>
        <item x="297"/>
        <item x="298"/>
        <item x="247"/>
        <item x="245"/>
        <item x="246"/>
        <item x="379"/>
        <item x="259"/>
        <item x="186"/>
        <item x="377"/>
        <item x="402"/>
        <item x="401"/>
        <item x="378"/>
        <item x="152"/>
        <item x="151"/>
        <item x="154"/>
        <item x="149"/>
        <item x="173"/>
        <item x="175"/>
        <item x="174"/>
        <item x="181"/>
        <item x="243"/>
        <item x="153"/>
        <item x="156"/>
        <item x="372"/>
        <item x="373"/>
        <item x="374"/>
        <item x="242"/>
        <item x="244"/>
        <item x="301"/>
        <item x="303"/>
        <item x="396"/>
        <item x="375"/>
        <item x="376"/>
        <item x="398"/>
        <item x="399"/>
        <item x="397"/>
        <item x="400"/>
        <item x="300"/>
        <item x="302"/>
        <item x="180"/>
        <item x="392"/>
        <item x="393"/>
        <item x="394"/>
        <item x="391"/>
        <item x="182"/>
        <item x="251"/>
        <item x="257"/>
        <item x="253"/>
        <item x="255"/>
        <item x="256"/>
        <item x="183"/>
        <item x="395"/>
        <item x="258"/>
        <item x="254"/>
        <item x="252"/>
        <item x="187"/>
        <item x="189"/>
        <item x="195"/>
        <item x="264"/>
        <item x="350"/>
        <item x="353"/>
        <item x="346"/>
        <item x="344"/>
        <item x="345"/>
        <item x="347"/>
        <item x="348"/>
        <item x="349"/>
        <item x="200"/>
        <item x="201"/>
        <item x="207"/>
        <item x="288"/>
        <item x="205"/>
        <item x="290"/>
        <item x="289"/>
        <item x="208"/>
        <item x="206"/>
        <item x="292"/>
        <item x="1"/>
        <item x="211"/>
        <item x="215"/>
        <item x="355"/>
        <item x="356"/>
        <item x="8"/>
        <item x="0"/>
        <item x="191"/>
        <item x="220"/>
        <item x="148"/>
        <item x="146"/>
        <item x="155"/>
        <item x="241"/>
        <item x="150"/>
        <item x="147"/>
        <item x="404"/>
        <item x="106"/>
        <item x="157"/>
        <item x="158"/>
        <item x="299"/>
        <item x="185"/>
        <item x="261"/>
        <item x="188"/>
        <item x="262"/>
        <item x="190"/>
        <item x="263"/>
        <item x="194"/>
        <item x="260"/>
        <item x="287"/>
        <item x="199"/>
        <item x="282"/>
        <item x="286"/>
        <item x="204"/>
        <item x="285"/>
        <item x="291"/>
        <item x="284"/>
        <item x="283"/>
        <item x="281"/>
        <item x="196"/>
        <item x="212"/>
        <item x="214"/>
        <item x="213"/>
        <item x="216"/>
        <item x="217"/>
        <item x="218"/>
        <item x="209"/>
        <item x="210"/>
        <item t="default"/>
      </items>
    </pivotField>
    <pivotField compact="0" showAll="0">
      <items count="410">
        <item x="164"/>
        <item x="364"/>
        <item x="292"/>
        <item x="248"/>
        <item x="54"/>
        <item x="55"/>
        <item x="56"/>
        <item x="82"/>
        <item x="81"/>
        <item x="80"/>
        <item x="79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279"/>
        <item x="197"/>
        <item x="196"/>
        <item x="191"/>
        <item x="5"/>
        <item x="278"/>
        <item x="4"/>
        <item x="192"/>
        <item x="277"/>
        <item x="276"/>
        <item x="275"/>
        <item x="274"/>
        <item x="273"/>
        <item x="272"/>
        <item x="2"/>
        <item x="271"/>
        <item x="293"/>
        <item x="218"/>
        <item x="219"/>
        <item x="220"/>
        <item x="270"/>
        <item x="269"/>
        <item x="202"/>
        <item x="3"/>
        <item x="6"/>
        <item x="268"/>
        <item x="267"/>
        <item x="201"/>
        <item x="7"/>
        <item x="266"/>
        <item x="265"/>
        <item x="264"/>
        <item x="190"/>
        <item x="351"/>
        <item x="353"/>
        <item x="13"/>
        <item x="305"/>
        <item x="15"/>
        <item x="16"/>
        <item x="17"/>
        <item x="18"/>
        <item x="19"/>
        <item x="20"/>
        <item x="21"/>
        <item x="22"/>
        <item x="14"/>
        <item x="23"/>
        <item x="306"/>
        <item x="307"/>
        <item x="24"/>
        <item x="25"/>
        <item x="308"/>
        <item x="26"/>
        <item x="309"/>
        <item x="27"/>
        <item x="28"/>
        <item x="29"/>
        <item x="12"/>
        <item x="30"/>
        <item x="31"/>
        <item x="32"/>
        <item x="33"/>
        <item x="310"/>
        <item x="34"/>
        <item x="35"/>
        <item x="36"/>
        <item x="311"/>
        <item x="312"/>
        <item x="313"/>
        <item x="314"/>
        <item x="37"/>
        <item x="315"/>
        <item x="316"/>
        <item x="38"/>
        <item x="39"/>
        <item x="317"/>
        <item x="402"/>
        <item x="318"/>
        <item x="319"/>
        <item x="331"/>
        <item x="40"/>
        <item x="41"/>
        <item x="320"/>
        <item x="42"/>
        <item x="43"/>
        <item x="9"/>
        <item x="44"/>
        <item x="321"/>
        <item x="322"/>
        <item x="45"/>
        <item x="46"/>
        <item x="323"/>
        <item x="324"/>
        <item x="10"/>
        <item x="47"/>
        <item x="48"/>
        <item x="11"/>
        <item x="325"/>
        <item x="326"/>
        <item x="327"/>
        <item x="404"/>
        <item x="49"/>
        <item x="328"/>
        <item x="329"/>
        <item x="50"/>
        <item x="51"/>
        <item x="52"/>
        <item x="330"/>
        <item x="143"/>
        <item x="115"/>
        <item x="130"/>
        <item x="129"/>
        <item x="114"/>
        <item x="116"/>
        <item x="113"/>
        <item x="239"/>
        <item x="295"/>
        <item x="128"/>
        <item x="247"/>
        <item x="133"/>
        <item x="134"/>
        <item x="139"/>
        <item x="137"/>
        <item x="138"/>
        <item x="89"/>
        <item x="335"/>
        <item x="334"/>
        <item x="108"/>
        <item x="86"/>
        <item x="107"/>
        <item x="342"/>
        <item x="105"/>
        <item x="84"/>
        <item x="337"/>
        <item x="96"/>
        <item x="95"/>
        <item x="94"/>
        <item x="93"/>
        <item x="339"/>
        <item x="104"/>
        <item x="336"/>
        <item x="340"/>
        <item x="341"/>
        <item x="338"/>
        <item x="237"/>
        <item x="236"/>
        <item x="110"/>
        <item x="88"/>
        <item x="87"/>
        <item x="333"/>
        <item x="332"/>
        <item x="99"/>
        <item x="98"/>
        <item x="97"/>
        <item x="103"/>
        <item x="102"/>
        <item x="101"/>
        <item x="100"/>
        <item x="90"/>
        <item x="83"/>
        <item x="235"/>
        <item x="407"/>
        <item x="92"/>
        <item x="109"/>
        <item x="91"/>
        <item x="85"/>
        <item x="238"/>
        <item x="118"/>
        <item x="117"/>
        <item x="119"/>
        <item x="120"/>
        <item x="141"/>
        <item x="142"/>
        <item x="140"/>
        <item x="234"/>
        <item x="233"/>
        <item x="232"/>
        <item x="127"/>
        <item x="231"/>
        <item x="230"/>
        <item x="229"/>
        <item x="123"/>
        <item x="122"/>
        <item x="121"/>
        <item x="228"/>
        <item x="125"/>
        <item x="124"/>
        <item x="132"/>
        <item x="131"/>
        <item x="136"/>
        <item x="135"/>
        <item x="227"/>
        <item x="226"/>
        <item x="225"/>
        <item x="406"/>
        <item x="224"/>
        <item x="223"/>
        <item x="111"/>
        <item x="112"/>
        <item x="222"/>
        <item x="294"/>
        <item x="126"/>
        <item x="221"/>
        <item x="72"/>
        <item x="73"/>
        <item x="74"/>
        <item x="75"/>
        <item x="76"/>
        <item x="77"/>
        <item x="0"/>
        <item x="78"/>
        <item x="53"/>
        <item x="249"/>
        <item x="252"/>
        <item x="250"/>
        <item x="181"/>
        <item x="256"/>
        <item x="183"/>
        <item x="186"/>
        <item x="194"/>
        <item x="263"/>
        <item x="187"/>
        <item x="189"/>
        <item x="262"/>
        <item x="188"/>
        <item x="383"/>
        <item x="385"/>
        <item x="376"/>
        <item x="401"/>
        <item x="400"/>
        <item x="389"/>
        <item x="380"/>
        <item x="381"/>
        <item x="378"/>
        <item x="391"/>
        <item x="392"/>
        <item x="393"/>
        <item x="179"/>
        <item x="371"/>
        <item x="397"/>
        <item x="398"/>
        <item x="395"/>
        <item x="396"/>
        <item x="399"/>
        <item x="388"/>
        <item x="394"/>
        <item x="390"/>
        <item x="185"/>
        <item x="144"/>
        <item x="145"/>
        <item x="304"/>
        <item x="303"/>
        <item x="246"/>
        <item x="245"/>
        <item x="244"/>
        <item x="153"/>
        <item x="152"/>
        <item x="151"/>
        <item x="154"/>
        <item x="149"/>
        <item x="156"/>
        <item x="243"/>
        <item x="180"/>
        <item x="242"/>
        <item x="241"/>
        <item x="299"/>
        <item x="300"/>
        <item x="301"/>
        <item x="302"/>
        <item x="296"/>
        <item x="297"/>
        <item x="251"/>
        <item x="384"/>
        <item x="382"/>
        <item x="253"/>
        <item x="178"/>
        <item x="254"/>
        <item x="182"/>
        <item x="172"/>
        <item x="174"/>
        <item x="173"/>
        <item x="387"/>
        <item x="386"/>
        <item x="379"/>
        <item x="177"/>
        <item x="175"/>
        <item x="176"/>
        <item x="258"/>
        <item x="184"/>
        <item x="255"/>
        <item x="257"/>
        <item x="193"/>
        <item x="261"/>
        <item x="260"/>
        <item x="259"/>
        <item x="106"/>
        <item x="377"/>
        <item x="372"/>
        <item x="374"/>
        <item x="373"/>
        <item x="375"/>
        <item x="158"/>
        <item x="298"/>
        <item x="150"/>
        <item x="240"/>
        <item x="157"/>
        <item x="403"/>
        <item x="148"/>
        <item x="146"/>
        <item x="147"/>
        <item x="155"/>
        <item x="207"/>
        <item x="206"/>
        <item x="1"/>
        <item x="200"/>
        <item x="214"/>
        <item x="215"/>
        <item x="216"/>
        <item x="217"/>
        <item x="291"/>
        <item x="290"/>
        <item x="205"/>
        <item x="203"/>
        <item x="199"/>
        <item x="210"/>
        <item x="212"/>
        <item x="289"/>
        <item x="288"/>
        <item x="287"/>
        <item x="204"/>
        <item x="8"/>
        <item x="286"/>
        <item x="285"/>
        <item x="198"/>
        <item x="211"/>
        <item x="213"/>
        <item x="280"/>
        <item x="208"/>
        <item x="209"/>
        <item x="343"/>
        <item x="344"/>
        <item x="345"/>
        <item x="346"/>
        <item x="347"/>
        <item x="348"/>
        <item x="349"/>
        <item x="350"/>
        <item x="352"/>
        <item x="354"/>
        <item x="355"/>
        <item x="283"/>
        <item x="282"/>
        <item x="284"/>
        <item x="281"/>
        <item x="195"/>
        <item x="405"/>
        <item x="408"/>
        <item x="370"/>
        <item x="163"/>
        <item x="361"/>
        <item x="162"/>
        <item x="365"/>
        <item x="359"/>
        <item x="360"/>
        <item x="161"/>
        <item x="165"/>
        <item x="166"/>
        <item x="167"/>
        <item x="168"/>
        <item x="169"/>
        <item x="356"/>
        <item x="357"/>
        <item x="159"/>
        <item x="358"/>
        <item x="160"/>
        <item x="366"/>
        <item x="367"/>
        <item x="363"/>
        <item x="170"/>
        <item x="368"/>
        <item x="171"/>
        <item x="369"/>
        <item x="362"/>
        <item t="default"/>
      </items>
    </pivotField>
    <pivotField compact="0" showAll="0">
      <items count="88">
        <item x="28"/>
        <item x="30"/>
        <item x="35"/>
        <item x="34"/>
        <item x="31"/>
        <item x="23"/>
        <item x="15"/>
        <item x="19"/>
        <item x="0"/>
        <item x="5"/>
        <item x="10"/>
        <item x="6"/>
        <item x="11"/>
        <item x="36"/>
        <item x="86"/>
        <item x="84"/>
        <item x="46"/>
        <item x="73"/>
        <item x="47"/>
        <item x="56"/>
        <item x="59"/>
        <item x="66"/>
        <item x="85"/>
        <item x="83"/>
        <item x="58"/>
        <item x="63"/>
        <item x="64"/>
        <item x="65"/>
        <item x="57"/>
        <item x="79"/>
        <item x="32"/>
        <item x="41"/>
        <item x="2"/>
        <item x="3"/>
        <item x="13"/>
        <item x="14"/>
        <item x="21"/>
        <item x="9"/>
        <item x="8"/>
        <item x="20"/>
        <item x="7"/>
        <item x="17"/>
        <item x="16"/>
        <item x="12"/>
        <item x="33"/>
        <item x="18"/>
        <item x="72"/>
        <item x="71"/>
        <item x="4"/>
        <item x="25"/>
        <item x="24"/>
        <item x="26"/>
        <item x="22"/>
        <item x="82"/>
        <item x="29"/>
        <item x="37"/>
        <item x="62"/>
        <item x="61"/>
        <item x="60"/>
        <item x="68"/>
        <item x="69"/>
        <item x="39"/>
        <item x="40"/>
        <item x="70"/>
        <item x="67"/>
        <item x="42"/>
        <item x="75"/>
        <item x="44"/>
        <item x="48"/>
        <item x="45"/>
        <item x="80"/>
        <item x="78"/>
        <item x="76"/>
        <item x="77"/>
        <item x="81"/>
        <item x="43"/>
        <item x="74"/>
        <item x="52"/>
        <item x="50"/>
        <item x="51"/>
        <item x="49"/>
        <item x="55"/>
        <item x="54"/>
        <item x="53"/>
        <item x="38"/>
        <item x="27"/>
        <item x="1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3">
        <item x="4"/>
        <item x="3"/>
        <item x="1"/>
        <item x="0"/>
        <item x="2"/>
        <item x="5"/>
        <item x="6"/>
        <item x="10"/>
        <item x="8"/>
        <item x="9"/>
        <item x="11"/>
        <item x="7"/>
        <item t="default"/>
      </items>
    </pivotField>
    <pivotField compact="0" showAll="0">
      <items count="1216">
        <item x="1209"/>
        <item x="1210"/>
        <item x="1211"/>
        <item x="1212"/>
        <item x="1213"/>
        <item x="1214"/>
        <item x="766"/>
        <item x="768"/>
        <item x="769"/>
        <item x="767"/>
        <item x="867"/>
        <item x="868"/>
        <item x="256"/>
        <item x="255"/>
        <item x="257"/>
        <item x="252"/>
        <item x="253"/>
        <item x="254"/>
        <item x="251"/>
        <item x="250"/>
        <item x="249"/>
        <item x="268"/>
        <item x="267"/>
        <item x="266"/>
        <item x="265"/>
        <item x="264"/>
        <item x="262"/>
        <item x="261"/>
        <item x="263"/>
        <item x="259"/>
        <item x="258"/>
        <item x="260"/>
        <item x="66"/>
        <item x="67"/>
        <item x="929"/>
        <item x="928"/>
        <item x="68"/>
        <item x="69"/>
        <item x="930"/>
        <item x="932"/>
        <item x="931"/>
        <item x="70"/>
        <item x="71"/>
        <item x="74"/>
        <item x="72"/>
        <item x="73"/>
        <item x="75"/>
        <item x="76"/>
        <item x="39"/>
        <item x="38"/>
        <item x="1000"/>
        <item x="1001"/>
        <item x="998"/>
        <item x="999"/>
        <item x="51"/>
        <item x="52"/>
        <item x="50"/>
        <item x="53"/>
        <item x="54"/>
        <item x="57"/>
        <item x="55"/>
        <item x="56"/>
        <item x="370"/>
        <item x="368"/>
        <item x="369"/>
        <item x="371"/>
        <item x="372"/>
        <item x="375"/>
        <item x="374"/>
        <item x="373"/>
        <item x="381"/>
        <item x="382"/>
        <item x="386"/>
        <item x="387"/>
        <item x="385"/>
        <item x="384"/>
        <item x="383"/>
        <item x="28"/>
        <item x="31"/>
        <item x="26"/>
        <item x="30"/>
        <item x="27"/>
        <item x="29"/>
        <item x="35"/>
        <item x="34"/>
        <item x="37"/>
        <item x="32"/>
        <item x="33"/>
        <item x="36"/>
        <item x="92"/>
        <item x="90"/>
        <item x="91"/>
        <item x="121"/>
        <item x="119"/>
        <item x="120"/>
        <item x="125"/>
        <item x="126"/>
        <item x="124"/>
        <item x="123"/>
        <item x="122"/>
        <item x="974"/>
        <item x="977"/>
        <item x="975"/>
        <item x="976"/>
        <item x="978"/>
        <item x="979"/>
        <item x="981"/>
        <item x="980"/>
        <item x="377"/>
        <item x="376"/>
        <item x="378"/>
        <item x="379"/>
        <item x="380"/>
        <item x="354"/>
        <item x="360"/>
        <item x="358"/>
        <item x="357"/>
        <item x="349"/>
        <item x="355"/>
        <item x="353"/>
        <item x="352"/>
        <item x="356"/>
        <item x="351"/>
        <item x="359"/>
        <item x="350"/>
        <item x="361"/>
        <item x="363"/>
        <item x="366"/>
        <item x="364"/>
        <item x="365"/>
        <item x="362"/>
        <item x="367"/>
        <item x="1205"/>
        <item x="1206"/>
        <item x="688"/>
        <item x="689"/>
        <item x="690"/>
        <item x="691"/>
        <item x="684"/>
        <item x="682"/>
        <item x="683"/>
        <item x="685"/>
        <item x="687"/>
        <item x="686"/>
        <item x="947"/>
        <item x="949"/>
        <item x="948"/>
        <item x="148"/>
        <item x="149"/>
        <item x="152"/>
        <item x="150"/>
        <item x="151"/>
        <item x="274"/>
        <item x="273"/>
        <item x="272"/>
        <item x="269"/>
        <item x="270"/>
        <item x="271"/>
        <item x="924"/>
        <item x="925"/>
        <item x="44"/>
        <item x="43"/>
        <item x="402"/>
        <item x="403"/>
        <item x="764"/>
        <item x="765"/>
        <item x="950"/>
        <item x="951"/>
        <item x="391"/>
        <item x="390"/>
        <item x="388"/>
        <item x="389"/>
        <item x="397"/>
        <item x="393"/>
        <item x="395"/>
        <item x="394"/>
        <item x="396"/>
        <item x="392"/>
        <item x="398"/>
        <item x="401"/>
        <item x="399"/>
        <item x="400"/>
        <item x="919"/>
        <item x="923"/>
        <item x="921"/>
        <item x="922"/>
        <item x="920"/>
        <item x="283"/>
        <item x="282"/>
        <item x="227"/>
        <item x="226"/>
        <item x="279"/>
        <item x="280"/>
        <item x="281"/>
        <item x="60"/>
        <item x="61"/>
        <item x="1004"/>
        <item x="1002"/>
        <item x="1003"/>
        <item x="94"/>
        <item x="93"/>
        <item x="938"/>
        <item x="936"/>
        <item x="935"/>
        <item x="937"/>
        <item x="939"/>
        <item x="941"/>
        <item x="940"/>
        <item x="943"/>
        <item x="942"/>
        <item x="945"/>
        <item x="944"/>
        <item x="946"/>
        <item x="302"/>
        <item x="298"/>
        <item x="300"/>
        <item x="301"/>
        <item x="299"/>
        <item x="303"/>
        <item x="307"/>
        <item x="305"/>
        <item x="304"/>
        <item x="306"/>
        <item x="312"/>
        <item x="311"/>
        <item x="313"/>
        <item x="309"/>
        <item x="310"/>
        <item x="308"/>
        <item x="314"/>
        <item x="316"/>
        <item x="315"/>
        <item x="96"/>
        <item x="95"/>
        <item x="97"/>
        <item x="233"/>
        <item x="232"/>
        <item x="230"/>
        <item x="231"/>
        <item x="229"/>
        <item x="228"/>
        <item x="65"/>
        <item x="64"/>
        <item x="140"/>
        <item x="1012"/>
        <item x="1008"/>
        <item x="1009"/>
        <item x="964"/>
        <item x="963"/>
        <item x="965"/>
        <item x="966"/>
        <item x="968"/>
        <item x="967"/>
        <item x="115"/>
        <item x="116"/>
        <item x="114"/>
        <item x="117"/>
        <item x="118"/>
        <item x="969"/>
        <item x="971"/>
        <item x="970"/>
        <item x="972"/>
        <item x="973"/>
        <item x="953"/>
        <item x="952"/>
        <item x="318"/>
        <item x="317"/>
        <item x="320"/>
        <item x="321"/>
        <item x="319"/>
        <item x="323"/>
        <item x="322"/>
        <item x="700"/>
        <item x="699"/>
        <item x="698"/>
        <item x="222"/>
        <item x="221"/>
        <item x="220"/>
        <item x="219"/>
        <item x="81"/>
        <item x="80"/>
        <item x="926"/>
        <item x="927"/>
        <item x="42"/>
        <item x="726"/>
        <item x="725"/>
        <item x="728"/>
        <item x="727"/>
        <item x="294"/>
        <item x="297"/>
        <item x="296"/>
        <item x="292"/>
        <item x="293"/>
        <item x="295"/>
        <item x="40"/>
        <item x="41"/>
        <item x="731"/>
        <item x="732"/>
        <item x="733"/>
        <item x="717"/>
        <item x="715"/>
        <item x="714"/>
        <item x="716"/>
        <item x="984"/>
        <item x="982"/>
        <item x="983"/>
        <item x="985"/>
        <item x="130"/>
        <item x="127"/>
        <item x="128"/>
        <item x="129"/>
        <item x="986"/>
        <item x="988"/>
        <item x="987"/>
        <item x="991"/>
        <item x="990"/>
        <item x="989"/>
        <item x="955"/>
        <item x="954"/>
        <item x="957"/>
        <item x="959"/>
        <item x="958"/>
        <item x="956"/>
        <item x="102"/>
        <item x="103"/>
        <item x="104"/>
        <item x="105"/>
        <item x="960"/>
        <item x="961"/>
        <item x="962"/>
        <item x="289"/>
        <item x="287"/>
        <item x="288"/>
        <item x="291"/>
        <item x="290"/>
        <item x="997"/>
        <item x="996"/>
        <item x="1195"/>
        <item x="1194"/>
        <item x="1196"/>
        <item x="1202"/>
        <item x="1201"/>
        <item x="1203"/>
        <item x="721"/>
        <item x="720"/>
        <item x="722"/>
        <item x="718"/>
        <item x="719"/>
        <item x="711"/>
        <item x="713"/>
        <item x="710"/>
        <item x="709"/>
        <item x="712"/>
        <item x="680"/>
        <item x="679"/>
        <item x="681"/>
        <item x="247"/>
        <item x="248"/>
        <item x="246"/>
        <item x="245"/>
        <item x="243"/>
        <item x="244"/>
        <item x="242"/>
        <item x="241"/>
        <item x="286"/>
        <item x="240"/>
        <item x="239"/>
        <item x="238"/>
        <item x="284"/>
        <item x="285"/>
        <item x="63"/>
        <item x="62"/>
        <item x="934"/>
        <item x="933"/>
        <item x="87"/>
        <item x="89"/>
        <item x="88"/>
        <item x="236"/>
        <item x="237"/>
        <item x="1006"/>
        <item x="723"/>
        <item x="724"/>
        <item x="47"/>
        <item x="45"/>
        <item x="46"/>
        <item x="48"/>
        <item x="49"/>
        <item x="342"/>
        <item x="343"/>
        <item x="341"/>
        <item x="344"/>
        <item x="345"/>
        <item x="348"/>
        <item x="347"/>
        <item x="346"/>
        <item x="877"/>
        <item x="876"/>
        <item x="878"/>
        <item x="879"/>
        <item x="99"/>
        <item x="98"/>
        <item x="100"/>
        <item x="101"/>
        <item x="133"/>
        <item x="131"/>
        <item x="132"/>
        <item x="134"/>
        <item x="136"/>
        <item x="135"/>
        <item x="137"/>
        <item x="139"/>
        <item x="138"/>
        <item x="994"/>
        <item x="995"/>
        <item x="993"/>
        <item x="992"/>
        <item x="107"/>
        <item x="106"/>
        <item x="111"/>
        <item x="109"/>
        <item x="108"/>
        <item x="110"/>
        <item x="24"/>
        <item x="23"/>
        <item x="22"/>
        <item x="25"/>
        <item x="112"/>
        <item x="113"/>
        <item x="333"/>
        <item x="336"/>
        <item x="335"/>
        <item x="334"/>
        <item x="332"/>
        <item x="338"/>
        <item x="337"/>
        <item x="339"/>
        <item x="340"/>
        <item x="678"/>
        <item x="677"/>
        <item x="676"/>
        <item x="729"/>
        <item x="730"/>
        <item x="705"/>
        <item x="706"/>
        <item x="707"/>
        <item x="704"/>
        <item x="702"/>
        <item x="703"/>
        <item x="701"/>
        <item x="708"/>
        <item x="873"/>
        <item x="874"/>
        <item x="875"/>
        <item x="872"/>
        <item x="77"/>
        <item x="79"/>
        <item x="78"/>
        <item x="1010"/>
        <item x="1011"/>
        <item x="1007"/>
        <item x="1005"/>
        <item x="179"/>
        <item x="180"/>
        <item x="181"/>
        <item x="182"/>
        <item x="178"/>
        <item x="184"/>
        <item x="183"/>
        <item x="185"/>
        <item x="186"/>
        <item x="187"/>
        <item x="188"/>
        <item x="142"/>
        <item x="141"/>
        <item x="175"/>
        <item x="177"/>
        <item x="176"/>
        <item x="191"/>
        <item x="190"/>
        <item x="189"/>
        <item x="203"/>
        <item x="202"/>
        <item x="234"/>
        <item x="235"/>
        <item x="59"/>
        <item x="58"/>
        <item x="328"/>
        <item x="324"/>
        <item x="325"/>
        <item x="326"/>
        <item x="327"/>
        <item x="329"/>
        <item x="331"/>
        <item x="330"/>
        <item x="693"/>
        <item x="694"/>
        <item x="692"/>
        <item x="695"/>
        <item x="696"/>
        <item x="697"/>
        <item x="83"/>
        <item x="82"/>
        <item x="84"/>
        <item x="85"/>
        <item x="86"/>
        <item x="224"/>
        <item x="225"/>
        <item x="223"/>
        <item x="1208"/>
        <item x="1207"/>
        <item x="155"/>
        <item x="154"/>
        <item x="153"/>
        <item x="157"/>
        <item x="156"/>
        <item x="160"/>
        <item x="158"/>
        <item x="159"/>
        <item x="161"/>
        <item x="163"/>
        <item x="162"/>
        <item x="166"/>
        <item x="165"/>
        <item x="164"/>
        <item x="167"/>
        <item x="169"/>
        <item x="168"/>
        <item x="170"/>
        <item x="171"/>
        <item x="204"/>
        <item x="205"/>
        <item x="207"/>
        <item x="208"/>
        <item x="206"/>
        <item x="212"/>
        <item x="210"/>
        <item x="209"/>
        <item x="211"/>
        <item x="144"/>
        <item x="143"/>
        <item x="194"/>
        <item x="192"/>
        <item x="193"/>
        <item x="195"/>
        <item x="199"/>
        <item x="198"/>
        <item x="197"/>
        <item x="196"/>
        <item x="172"/>
        <item x="174"/>
        <item x="173"/>
        <item x="1077"/>
        <item x="1076"/>
        <item x="1078"/>
        <item x="510"/>
        <item x="511"/>
        <item x="509"/>
        <item x="1080"/>
        <item x="1081"/>
        <item x="1082"/>
        <item x="1079"/>
        <item x="1084"/>
        <item x="1083"/>
        <item x="513"/>
        <item x="512"/>
        <item x="514"/>
        <item x="1070"/>
        <item x="1071"/>
        <item x="1073"/>
        <item x="1072"/>
        <item x="1074"/>
        <item x="1075"/>
        <item x="499"/>
        <item x="502"/>
        <item x="500"/>
        <item x="503"/>
        <item x="501"/>
        <item x="498"/>
        <item x="505"/>
        <item x="504"/>
        <item x="506"/>
        <item x="508"/>
        <item x="507"/>
        <item x="1065"/>
        <item x="1064"/>
        <item x="1067"/>
        <item x="1066"/>
        <item x="495"/>
        <item x="494"/>
        <item x="497"/>
        <item x="496"/>
        <item x="1069"/>
        <item x="1068"/>
        <item x="492"/>
        <item x="493"/>
        <item x="487"/>
        <item x="488"/>
        <item x="489"/>
        <item x="490"/>
        <item x="491"/>
        <item x="1085"/>
        <item x="1086"/>
        <item x="480"/>
        <item x="481"/>
        <item x="1046"/>
        <item x="1047"/>
        <item x="1048"/>
        <item x="1050"/>
        <item x="1049"/>
        <item x="1052"/>
        <item x="1051"/>
        <item x="478"/>
        <item x="479"/>
        <item x="1053"/>
        <item x="1054"/>
        <item x="1055"/>
        <item x="1056"/>
        <item x="1059"/>
        <item x="1058"/>
        <item x="1057"/>
        <item x="482"/>
        <item x="483"/>
        <item x="484"/>
        <item x="1060"/>
        <item x="1063"/>
        <item x="1061"/>
        <item x="1062"/>
        <item x="485"/>
        <item x="486"/>
        <item x="1204"/>
        <item x="147"/>
        <item x="201"/>
        <item x="200"/>
        <item x="1035"/>
        <item x="1033"/>
        <item x="1034"/>
        <item x="1036"/>
        <item x="1037"/>
        <item x="1041"/>
        <item x="1040"/>
        <item x="17"/>
        <item x="16"/>
        <item x="15"/>
        <item x="20"/>
        <item x="848"/>
        <item x="847"/>
        <item x="627"/>
        <item x="845"/>
        <item x="846"/>
        <item x="844"/>
        <item x="814"/>
        <item x="812"/>
        <item x="813"/>
        <item x="811"/>
        <item x="810"/>
        <item x="13"/>
        <item x="12"/>
        <item x="14"/>
        <item x="18"/>
        <item x="19"/>
        <item x="628"/>
        <item x="629"/>
        <item x="10"/>
        <item x="8"/>
        <item x="9"/>
        <item x="7"/>
        <item x="11"/>
        <item x="843"/>
        <item x="842"/>
        <item x="841"/>
        <item x="837"/>
        <item x="840"/>
        <item x="838"/>
        <item x="839"/>
        <item x="836"/>
        <item x="834"/>
        <item x="835"/>
        <item x="831"/>
        <item x="833"/>
        <item x="832"/>
        <item x="830"/>
        <item x="826"/>
        <item x="828"/>
        <item x="829"/>
        <item x="827"/>
        <item x="824"/>
        <item x="825"/>
        <item x="620"/>
        <item x="619"/>
        <item x="617"/>
        <item x="618"/>
        <item x="601"/>
        <item x="602"/>
        <item x="818"/>
        <item x="819"/>
        <item x="817"/>
        <item x="816"/>
        <item x="815"/>
        <item x="823"/>
        <item x="822"/>
        <item x="821"/>
        <item x="820"/>
        <item x="603"/>
        <item x="605"/>
        <item x="604"/>
        <item x="870"/>
        <item x="871"/>
        <item x="869"/>
        <item x="671"/>
        <item x="670"/>
        <item x="674"/>
        <item x="675"/>
        <item x="145"/>
        <item x="146"/>
        <item x="218"/>
        <item x="217"/>
        <item x="215"/>
        <item x="216"/>
        <item x="213"/>
        <item x="214"/>
        <item x="1151"/>
        <item x="1152"/>
        <item x="1150"/>
        <item x="1149"/>
        <item x="1141"/>
        <item x="1144"/>
        <item x="1142"/>
        <item x="1143"/>
        <item x="1148"/>
        <item x="1147"/>
        <item x="1145"/>
        <item x="1146"/>
        <item x="554"/>
        <item x="551"/>
        <item x="552"/>
        <item x="555"/>
        <item x="553"/>
        <item x="549"/>
        <item x="550"/>
        <item x="548"/>
        <item x="1124"/>
        <item x="1125"/>
        <item x="1126"/>
        <item x="772"/>
        <item x="771"/>
        <item x="770"/>
        <item x="1121"/>
        <item x="1122"/>
        <item x="1123"/>
        <item x="1119"/>
        <item x="1117"/>
        <item x="1120"/>
        <item x="1116"/>
        <item x="1118"/>
        <item x="912"/>
        <item x="913"/>
        <item x="911"/>
        <item x="916"/>
        <item x="918"/>
        <item x="914"/>
        <item x="917"/>
        <item x="915"/>
        <item x="1132"/>
        <item x="1130"/>
        <item x="1131"/>
        <item x="1139"/>
        <item x="1140"/>
        <item x="1138"/>
        <item x="1134"/>
        <item x="1136"/>
        <item x="1135"/>
        <item x="1133"/>
        <item x="1137"/>
        <item x="406"/>
        <item x="404"/>
        <item x="405"/>
        <item x="407"/>
        <item x="408"/>
        <item x="409"/>
        <item x="411"/>
        <item x="410"/>
        <item x="1129"/>
        <item x="1127"/>
        <item x="1128"/>
        <item x="541"/>
        <item x="542"/>
        <item x="540"/>
        <item x="543"/>
        <item x="547"/>
        <item x="544"/>
        <item x="545"/>
        <item x="546"/>
        <item x="575"/>
        <item x="576"/>
        <item x="880"/>
        <item x="882"/>
        <item x="883"/>
        <item x="881"/>
        <item x="884"/>
        <item x="886"/>
        <item x="885"/>
        <item x="887"/>
        <item x="761"/>
        <item x="762"/>
        <item x="763"/>
        <item x="751"/>
        <item x="752"/>
        <item x="753"/>
        <item x="754"/>
        <item x="750"/>
        <item x="758"/>
        <item x="760"/>
        <item x="759"/>
        <item x="757"/>
        <item x="756"/>
        <item x="755"/>
        <item x="1114"/>
        <item x="1113"/>
        <item x="1115"/>
        <item x="793"/>
        <item x="794"/>
        <item x="584"/>
        <item x="583"/>
        <item x="1109"/>
        <item x="1110"/>
        <item x="1192"/>
        <item x="1193"/>
        <item x="1189"/>
        <item x="1190"/>
        <item x="1191"/>
        <item x="1112"/>
        <item x="1111"/>
        <item x="445"/>
        <item x="448"/>
        <item x="447"/>
        <item x="446"/>
        <item x="441"/>
        <item x="443"/>
        <item x="444"/>
        <item x="442"/>
        <item x="457"/>
        <item x="456"/>
        <item x="458"/>
        <item x="455"/>
        <item x="454"/>
        <item x="435"/>
        <item x="436"/>
        <item x="428"/>
        <item x="431"/>
        <item x="429"/>
        <item x="430"/>
        <item x="433"/>
        <item x="434"/>
        <item x="432"/>
        <item x="427"/>
        <item x="516"/>
        <item x="515"/>
        <item x="519"/>
        <item x="517"/>
        <item x="518"/>
        <item x="520"/>
        <item x="531"/>
        <item x="536"/>
        <item x="539"/>
        <item x="532"/>
        <item x="529"/>
        <item x="533"/>
        <item x="534"/>
        <item x="535"/>
        <item x="537"/>
        <item x="538"/>
        <item x="530"/>
        <item x="526"/>
        <item x="525"/>
        <item x="528"/>
        <item x="527"/>
        <item x="522"/>
        <item x="521"/>
        <item x="524"/>
        <item x="523"/>
        <item x="566"/>
        <item x="565"/>
        <item x="564"/>
        <item x="563"/>
        <item x="562"/>
        <item x="743"/>
        <item x="744"/>
        <item x="745"/>
        <item x="742"/>
        <item x="449"/>
        <item x="453"/>
        <item x="451"/>
        <item x="450"/>
        <item x="452"/>
        <item x="465"/>
        <item x="466"/>
        <item x="464"/>
        <item x="1090"/>
        <item x="1088"/>
        <item x="1091"/>
        <item x="1089"/>
        <item x="1087"/>
        <item x="1092"/>
        <item x="1093"/>
        <item x="1094"/>
        <item x="1098"/>
        <item x="1097"/>
        <item x="1095"/>
        <item x="1096"/>
        <item x="739"/>
        <item x="741"/>
        <item x="740"/>
        <item x="738"/>
        <item x="748"/>
        <item x="746"/>
        <item x="749"/>
        <item x="747"/>
        <item x="899"/>
        <item x="898"/>
        <item x="897"/>
        <item x="896"/>
        <item x="907"/>
        <item x="910"/>
        <item x="909"/>
        <item x="908"/>
        <item x="906"/>
        <item x="1175"/>
        <item x="1174"/>
        <item x="1172"/>
        <item x="1173"/>
        <item x="1099"/>
        <item x="1101"/>
        <item x="1100"/>
        <item x="1102"/>
        <item x="1104"/>
        <item x="1108"/>
        <item x="1106"/>
        <item x="1105"/>
        <item x="1107"/>
        <item x="1103"/>
        <item x="1179"/>
        <item x="1178"/>
        <item x="1180"/>
        <item x="1183"/>
        <item x="1182"/>
        <item x="1181"/>
        <item x="1176"/>
        <item x="1177"/>
        <item x="1184"/>
        <item x="1186"/>
        <item x="1187"/>
        <item x="1185"/>
        <item x="1188"/>
        <item x="894"/>
        <item x="895"/>
        <item x="893"/>
        <item x="892"/>
        <item x="904"/>
        <item x="902"/>
        <item x="905"/>
        <item x="903"/>
        <item x="900"/>
        <item x="901"/>
        <item x="556"/>
        <item x="560"/>
        <item x="558"/>
        <item x="559"/>
        <item x="557"/>
        <item x="561"/>
        <item x="1157"/>
        <item x="1158"/>
        <item x="1161"/>
        <item x="1159"/>
        <item x="1160"/>
        <item x="1162"/>
        <item x="1165"/>
        <item x="1163"/>
        <item x="1164"/>
        <item x="1167"/>
        <item x="1166"/>
        <item x="1168"/>
        <item x="1156"/>
        <item x="1153"/>
        <item x="1154"/>
        <item x="1155"/>
        <item x="570"/>
        <item x="567"/>
        <item x="568"/>
        <item x="569"/>
        <item x="773"/>
        <item x="774"/>
        <item x="790"/>
        <item x="791"/>
        <item x="779"/>
        <item x="778"/>
        <item x="783"/>
        <item x="787"/>
        <item x="786"/>
        <item x="785"/>
        <item x="784"/>
        <item x="789"/>
        <item x="788"/>
        <item x="574"/>
        <item x="571"/>
        <item x="572"/>
        <item x="573"/>
        <item x="1171"/>
        <item x="1170"/>
        <item x="1169"/>
        <item x="792"/>
        <item x="781"/>
        <item x="782"/>
        <item x="780"/>
        <item x="777"/>
        <item x="776"/>
        <item x="775"/>
        <item x="586"/>
        <item x="585"/>
        <item x="589"/>
        <item x="613"/>
        <item x="615"/>
        <item x="612"/>
        <item x="614"/>
        <item x="809"/>
        <item x="808"/>
        <item x="807"/>
        <item x="1029"/>
        <item x="1030"/>
        <item x="1032"/>
        <item x="1031"/>
        <item x="1038"/>
        <item x="1039"/>
        <item x="1021"/>
        <item x="1020"/>
        <item x="1015"/>
        <item x="1013"/>
        <item x="1016"/>
        <item x="1014"/>
        <item x="1017"/>
        <item x="1019"/>
        <item x="1018"/>
        <item x="1022"/>
        <item x="1023"/>
        <item x="1025"/>
        <item x="1024"/>
        <item x="1028"/>
        <item x="1027"/>
        <item x="1026"/>
        <item x="623"/>
        <item x="626"/>
        <item x="624"/>
        <item x="625"/>
        <item x="639"/>
        <item x="858"/>
        <item x="857"/>
        <item x="859"/>
        <item x="633"/>
        <item x="635"/>
        <item x="634"/>
        <item x="861"/>
        <item x="860"/>
        <item x="640"/>
        <item x="638"/>
        <item x="636"/>
        <item x="637"/>
        <item x="865"/>
        <item x="866"/>
        <item x="4"/>
        <item x="5"/>
        <item x="6"/>
        <item x="652"/>
        <item x="650"/>
        <item x="651"/>
        <item x="662"/>
        <item x="663"/>
        <item x="1043"/>
        <item x="1042"/>
        <item x="1045"/>
        <item x="1044"/>
        <item x="21"/>
        <item x="0"/>
        <item x="2"/>
        <item x="3"/>
        <item x="1"/>
        <item x="600"/>
        <item x="599"/>
        <item x="673"/>
        <item x="672"/>
        <item x="420"/>
        <item x="426"/>
        <item x="422"/>
        <item x="418"/>
        <item x="421"/>
        <item x="424"/>
        <item x="425"/>
        <item x="423"/>
        <item x="419"/>
        <item x="414"/>
        <item x="413"/>
        <item x="412"/>
        <item x="463"/>
        <item x="461"/>
        <item x="462"/>
        <item x="460"/>
        <item x="459"/>
        <item x="737"/>
        <item x="735"/>
        <item x="736"/>
        <item x="734"/>
        <item x="438"/>
        <item x="439"/>
        <item x="440"/>
        <item x="437"/>
        <item x="417"/>
        <item x="416"/>
        <item x="415"/>
        <item x="1199"/>
        <item x="1200"/>
        <item x="1198"/>
        <item x="1197"/>
        <item x="276"/>
        <item x="278"/>
        <item x="277"/>
        <item x="275"/>
        <item x="471"/>
        <item x="469"/>
        <item x="467"/>
        <item x="470"/>
        <item x="468"/>
        <item x="477"/>
        <item x="474"/>
        <item x="476"/>
        <item x="475"/>
        <item x="472"/>
        <item x="473"/>
        <item x="891"/>
        <item x="888"/>
        <item x="890"/>
        <item x="889"/>
        <item x="578"/>
        <item x="577"/>
        <item x="579"/>
        <item x="582"/>
        <item x="580"/>
        <item x="581"/>
        <item x="801"/>
        <item x="800"/>
        <item x="799"/>
        <item x="588"/>
        <item x="587"/>
        <item x="802"/>
        <item x="803"/>
        <item x="804"/>
        <item x="596"/>
        <item x="591"/>
        <item x="594"/>
        <item x="593"/>
        <item x="595"/>
        <item x="597"/>
        <item x="598"/>
        <item x="590"/>
        <item x="592"/>
        <item x="805"/>
        <item x="806"/>
        <item x="607"/>
        <item x="611"/>
        <item x="609"/>
        <item x="610"/>
        <item x="608"/>
        <item x="606"/>
        <item x="797"/>
        <item x="798"/>
        <item x="796"/>
        <item x="795"/>
        <item x="855"/>
        <item x="856"/>
        <item x="622"/>
        <item x="621"/>
        <item x="850"/>
        <item x="854"/>
        <item x="632"/>
        <item x="631"/>
        <item x="630"/>
        <item x="853"/>
        <item x="864"/>
        <item x="863"/>
        <item x="862"/>
        <item x="852"/>
        <item x="851"/>
        <item x="849"/>
        <item x="616"/>
        <item x="655"/>
        <item x="654"/>
        <item x="653"/>
        <item x="660"/>
        <item x="661"/>
        <item x="659"/>
        <item x="656"/>
        <item x="658"/>
        <item x="657"/>
        <item x="664"/>
        <item x="665"/>
        <item x="667"/>
        <item x="666"/>
        <item x="669"/>
        <item x="668"/>
        <item x="643"/>
        <item x="641"/>
        <item x="645"/>
        <item x="644"/>
        <item x="642"/>
        <item x="646"/>
        <item x="649"/>
        <item x="648"/>
        <item x="64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axis="axisRow" compact="0" sortType="descending" showAll="0">
      <items count="6">
        <item x="2"/>
        <item x="4"/>
        <item x="0"/>
        <item x="3"/>
        <item x="1"/>
        <item t="default"/>
      </items>
    </pivotField>
    <pivotField compact="0" showAll="0">
      <items count="11">
        <item x="1"/>
        <item x="7"/>
        <item x="8"/>
        <item x="5"/>
        <item x="4"/>
        <item x="6"/>
        <item x="0"/>
        <item x="3"/>
        <item x="9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求和项:款数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O22" sqref="O22"/>
    </sheetView>
  </sheetViews>
  <sheetFormatPr defaultColWidth="9" defaultRowHeight="16.8"/>
  <cols>
    <col min="1" max="1" width="12.75"/>
    <col min="2" max="3" width="10"/>
    <col min="4" max="4" width="5.125"/>
    <col min="6" max="6" width="12.75"/>
    <col min="7" max="7" width="10.875"/>
    <col min="8" max="8" width="5.125"/>
    <col min="12" max="12" width="7.375" customWidth="1"/>
    <col min="13" max="13" width="9.375" customWidth="1"/>
    <col min="14" max="15" width="7.375" customWidth="1"/>
    <col min="16" max="16" width="5.875" customWidth="1"/>
  </cols>
  <sheetData>
    <row r="1" spans="1:16">
      <c r="F1" t="s">
        <v>0</v>
      </c>
      <c r="G1" t="s">
        <v>1</v>
      </c>
    </row>
    <row r="3" spans="1:16">
      <c r="A3" t="s">
        <v>2</v>
      </c>
      <c r="B3" t="s">
        <v>3</v>
      </c>
      <c r="F3" t="s">
        <v>2</v>
      </c>
      <c r="G3" t="s">
        <v>4</v>
      </c>
      <c r="L3" s="145" t="s">
        <v>5</v>
      </c>
      <c r="M3" s="145" t="s">
        <v>6</v>
      </c>
      <c r="N3" s="145" t="s">
        <v>7</v>
      </c>
      <c r="O3" s="145" t="s">
        <v>8</v>
      </c>
      <c r="P3" s="145" t="s">
        <v>9</v>
      </c>
    </row>
    <row r="4" spans="1:16">
      <c r="A4" t="s">
        <v>5</v>
      </c>
      <c r="B4" t="s">
        <v>7</v>
      </c>
      <c r="C4" t="s">
        <v>6</v>
      </c>
      <c r="D4" t="s">
        <v>9</v>
      </c>
      <c r="F4" t="s">
        <v>5</v>
      </c>
      <c r="G4" t="s">
        <v>8</v>
      </c>
      <c r="H4" t="s">
        <v>9</v>
      </c>
      <c r="L4" s="146" t="s">
        <v>10</v>
      </c>
      <c r="M4" s="146">
        <v>128</v>
      </c>
      <c r="N4" s="146">
        <v>3</v>
      </c>
      <c r="O4" s="146">
        <v>248</v>
      </c>
      <c r="P4" s="146">
        <f t="shared" ref="P4:P9" si="0">SUM(M4:O4)</f>
        <v>379</v>
      </c>
    </row>
    <row r="5" spans="1:16">
      <c r="A5" t="s">
        <v>10</v>
      </c>
      <c r="B5">
        <v>3</v>
      </c>
      <c r="C5">
        <v>128</v>
      </c>
      <c r="D5">
        <v>131</v>
      </c>
      <c r="F5" t="s">
        <v>10</v>
      </c>
      <c r="G5">
        <v>248</v>
      </c>
      <c r="H5">
        <v>248</v>
      </c>
      <c r="L5" s="146" t="s">
        <v>11</v>
      </c>
      <c r="M5" s="146">
        <v>131</v>
      </c>
      <c r="N5" s="146">
        <v>26</v>
      </c>
      <c r="O5" s="146">
        <v>305</v>
      </c>
      <c r="P5" s="146">
        <f t="shared" si="0"/>
        <v>462</v>
      </c>
    </row>
    <row r="6" spans="1:16">
      <c r="A6" t="s">
        <v>12</v>
      </c>
      <c r="C6">
        <v>13</v>
      </c>
      <c r="D6">
        <v>13</v>
      </c>
      <c r="F6" t="s">
        <v>12</v>
      </c>
      <c r="G6">
        <v>48</v>
      </c>
      <c r="H6">
        <v>48</v>
      </c>
      <c r="L6" s="146" t="s">
        <v>13</v>
      </c>
      <c r="M6" s="146">
        <v>26</v>
      </c>
      <c r="N6" s="146">
        <v>4</v>
      </c>
      <c r="O6" s="146">
        <v>111</v>
      </c>
      <c r="P6" s="146">
        <f t="shared" si="0"/>
        <v>141</v>
      </c>
    </row>
    <row r="7" spans="1:16">
      <c r="A7" t="s">
        <v>11</v>
      </c>
      <c r="B7">
        <v>26</v>
      </c>
      <c r="C7">
        <v>131</v>
      </c>
      <c r="D7">
        <v>157</v>
      </c>
      <c r="F7" t="s">
        <v>11</v>
      </c>
      <c r="G7">
        <v>305</v>
      </c>
      <c r="H7">
        <v>305</v>
      </c>
      <c r="L7" s="147" t="s">
        <v>14</v>
      </c>
      <c r="M7" s="147">
        <v>29</v>
      </c>
      <c r="N7" s="147">
        <v>49</v>
      </c>
      <c r="O7" s="147">
        <v>122</v>
      </c>
      <c r="P7" s="147">
        <f t="shared" si="0"/>
        <v>200</v>
      </c>
    </row>
    <row r="8" spans="1:16">
      <c r="A8" t="s">
        <v>13</v>
      </c>
      <c r="B8">
        <v>4</v>
      </c>
      <c r="C8">
        <v>26</v>
      </c>
      <c r="D8">
        <v>30</v>
      </c>
      <c r="F8" t="s">
        <v>13</v>
      </c>
      <c r="G8">
        <v>111</v>
      </c>
      <c r="H8">
        <v>111</v>
      </c>
      <c r="L8" s="147" t="s">
        <v>12</v>
      </c>
      <c r="M8" s="147">
        <v>13</v>
      </c>
      <c r="N8" s="147"/>
      <c r="O8" s="147">
        <v>48</v>
      </c>
      <c r="P8" s="147">
        <f t="shared" si="0"/>
        <v>61</v>
      </c>
    </row>
    <row r="9" spans="1:16">
      <c r="A9" t="s">
        <v>14</v>
      </c>
      <c r="B9">
        <v>49</v>
      </c>
      <c r="C9">
        <v>29</v>
      </c>
      <c r="D9">
        <v>78</v>
      </c>
      <c r="F9" t="s">
        <v>14</v>
      </c>
      <c r="G9">
        <v>122</v>
      </c>
      <c r="H9">
        <v>122</v>
      </c>
      <c r="L9" s="148" t="s">
        <v>9</v>
      </c>
      <c r="M9" s="148">
        <v>327</v>
      </c>
      <c r="N9" s="148">
        <v>82</v>
      </c>
      <c r="O9" s="148">
        <v>834</v>
      </c>
      <c r="P9" s="148">
        <f t="shared" si="0"/>
        <v>1243</v>
      </c>
    </row>
    <row r="10" spans="1:16">
      <c r="A10" t="s">
        <v>9</v>
      </c>
      <c r="B10">
        <v>82</v>
      </c>
      <c r="C10">
        <v>327</v>
      </c>
      <c r="D10">
        <v>409</v>
      </c>
      <c r="F10" t="s">
        <v>9</v>
      </c>
      <c r="G10">
        <v>834</v>
      </c>
      <c r="H10">
        <v>834</v>
      </c>
    </row>
    <row r="12" spans="1:16">
      <c r="A12" s="149" t="s">
        <v>5</v>
      </c>
      <c r="B12" s="149" t="s">
        <v>6</v>
      </c>
      <c r="C12" s="149" t="s">
        <v>7</v>
      </c>
      <c r="D12" s="149" t="s">
        <v>8</v>
      </c>
      <c r="E12" s="149" t="s">
        <v>9</v>
      </c>
    </row>
    <row r="13" spans="1:16">
      <c r="A13" t="s">
        <v>10</v>
      </c>
      <c r="B13">
        <v>128</v>
      </c>
      <c r="C13">
        <v>3</v>
      </c>
      <c r="D13">
        <v>248</v>
      </c>
      <c r="E13">
        <f t="shared" ref="E13:E18" si="1">SUM(B13:D13)</f>
        <v>379</v>
      </c>
    </row>
    <row r="14" spans="1:16">
      <c r="A14" t="s">
        <v>12</v>
      </c>
      <c r="B14">
        <v>13</v>
      </c>
      <c r="D14">
        <v>48</v>
      </c>
      <c r="E14">
        <f t="shared" si="1"/>
        <v>61</v>
      </c>
    </row>
    <row r="15" spans="1:16">
      <c r="A15" t="s">
        <v>11</v>
      </c>
      <c r="B15">
        <v>131</v>
      </c>
      <c r="C15">
        <v>26</v>
      </c>
      <c r="D15">
        <v>305</v>
      </c>
      <c r="E15">
        <f t="shared" si="1"/>
        <v>462</v>
      </c>
    </row>
    <row r="16" spans="1:16">
      <c r="A16" t="s">
        <v>13</v>
      </c>
      <c r="B16">
        <v>26</v>
      </c>
      <c r="C16">
        <v>4</v>
      </c>
      <c r="D16">
        <v>111</v>
      </c>
      <c r="E16">
        <f t="shared" si="1"/>
        <v>141</v>
      </c>
    </row>
    <row r="17" spans="1:5">
      <c r="A17" s="150" t="s">
        <v>14</v>
      </c>
      <c r="B17" s="150">
        <v>29</v>
      </c>
      <c r="C17" s="150">
        <v>49</v>
      </c>
      <c r="D17" s="150">
        <v>122</v>
      </c>
      <c r="E17">
        <f t="shared" si="1"/>
        <v>200</v>
      </c>
    </row>
    <row r="18" spans="1:5">
      <c r="A18" s="151" t="s">
        <v>9</v>
      </c>
      <c r="B18" s="151">
        <v>327</v>
      </c>
      <c r="C18" s="151">
        <v>82</v>
      </c>
      <c r="D18" s="151">
        <v>834</v>
      </c>
      <c r="E18" s="151">
        <f t="shared" si="1"/>
        <v>1243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10"/>
  <sheetViews>
    <sheetView workbookViewId="0">
      <selection activeCell="S5" sqref="S5"/>
    </sheetView>
  </sheetViews>
  <sheetFormatPr defaultColWidth="9.23076923076923" defaultRowHeight="16.8"/>
  <cols>
    <col min="17" max="17" width="12.3365384615385" customWidth="1"/>
    <col min="19" max="19" width="12.5" customWidth="1"/>
    <col min="62" max="62" width="13.9326923076923" customWidth="1"/>
    <col min="63" max="63" width="13.4519230769231" customWidth="1"/>
  </cols>
  <sheetData>
    <row r="1" s="1" customFormat="1" ht="28" customHeight="1" spans="1:176">
      <c r="A1" s="3" t="s">
        <v>15</v>
      </c>
      <c r="B1" s="4"/>
      <c r="C1" s="5"/>
      <c r="D1" s="5"/>
      <c r="E1" s="5"/>
      <c r="F1" s="5"/>
      <c r="G1" s="5"/>
      <c r="H1" s="5"/>
      <c r="I1" s="5"/>
      <c r="J1" s="5"/>
      <c r="K1" s="92"/>
      <c r="L1" s="92"/>
      <c r="M1" s="92"/>
      <c r="N1" s="92"/>
      <c r="O1" s="103"/>
      <c r="P1" s="103"/>
      <c r="Q1" s="104"/>
      <c r="R1" s="92"/>
      <c r="S1" s="104"/>
      <c r="T1" s="103"/>
      <c r="U1" s="103"/>
      <c r="V1" s="103"/>
      <c r="W1" s="103"/>
      <c r="X1" s="103"/>
      <c r="Y1" s="103"/>
      <c r="Z1" s="103"/>
      <c r="AA1" s="92"/>
      <c r="AB1" s="103"/>
      <c r="AC1" s="103"/>
      <c r="AD1" s="103"/>
      <c r="AE1" s="103"/>
      <c r="AF1" s="103"/>
      <c r="AG1" s="103" t="s">
        <v>16</v>
      </c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5"/>
      <c r="AX1" s="103"/>
      <c r="AY1" s="103"/>
      <c r="AZ1" s="103"/>
      <c r="BA1" s="103"/>
      <c r="BB1" s="103"/>
      <c r="BC1" s="103"/>
      <c r="BD1" s="103"/>
      <c r="BE1" s="103"/>
      <c r="BF1" s="106"/>
      <c r="BG1" s="106"/>
      <c r="BH1" s="106"/>
      <c r="BI1" s="106"/>
      <c r="BJ1" s="8"/>
      <c r="BK1" s="8"/>
      <c r="BY1" s="103"/>
      <c r="CM1" s="1" t="s">
        <v>17</v>
      </c>
      <c r="CN1" s="1" t="s">
        <v>17</v>
      </c>
      <c r="CQ1" s="1" t="s">
        <v>17</v>
      </c>
      <c r="CR1" s="1" t="s">
        <v>17</v>
      </c>
      <c r="CT1" s="1" t="s">
        <v>17</v>
      </c>
      <c r="CY1" s="107"/>
      <c r="DE1" s="108">
        <f>SUBTOTAL(9,DE3:DE1598)/10000</f>
        <v>0</v>
      </c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FL1" s="110">
        <f t="shared" ref="FL1:FO1" si="0">SUBTOTAL(9,FL4:FL1218)</f>
        <v>209846</v>
      </c>
      <c r="FM1" s="110">
        <f t="shared" si="0"/>
        <v>12380914</v>
      </c>
      <c r="FN1" s="110">
        <f t="shared" si="0"/>
        <v>209846</v>
      </c>
      <c r="FO1" s="110">
        <f t="shared" si="0"/>
        <v>12380914</v>
      </c>
      <c r="FP1" s="111" t="s">
        <v>18</v>
      </c>
      <c r="FQ1" s="111" t="s">
        <v>18</v>
      </c>
    </row>
    <row r="2" s="1" customFormat="1" ht="30.75" customHeight="1" spans="1:176">
      <c r="A2" s="11" t="s">
        <v>19</v>
      </c>
      <c r="B2" s="12"/>
      <c r="C2" s="11"/>
      <c r="D2" s="11"/>
      <c r="E2" s="11" t="s">
        <v>20</v>
      </c>
      <c r="F2" s="11"/>
      <c r="G2" s="11" t="s">
        <v>21</v>
      </c>
      <c r="H2" s="11" t="s">
        <v>21</v>
      </c>
      <c r="I2" s="11"/>
      <c r="J2" s="112"/>
      <c r="K2" s="90"/>
      <c r="L2" s="90"/>
      <c r="M2" s="90"/>
      <c r="N2" s="90"/>
      <c r="O2" s="49"/>
      <c r="P2" s="49"/>
      <c r="Q2" s="113"/>
      <c r="R2" s="114"/>
      <c r="S2" s="53"/>
      <c r="T2" s="54" t="s">
        <v>22</v>
      </c>
      <c r="U2" s="55"/>
      <c r="V2" s="55"/>
      <c r="W2" s="55"/>
      <c r="X2" s="55"/>
      <c r="Y2" s="55"/>
      <c r="Z2" s="115"/>
      <c r="AA2" s="114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7"/>
      <c r="AQ2" s="55"/>
      <c r="AR2" s="55"/>
      <c r="AS2" s="55"/>
      <c r="AT2" s="60" t="s">
        <v>23</v>
      </c>
      <c r="AU2" s="55"/>
      <c r="AV2" s="55"/>
      <c r="AW2" s="116"/>
      <c r="AX2" s="55"/>
      <c r="AY2" s="55"/>
      <c r="AZ2" s="55"/>
      <c r="BA2" s="55"/>
      <c r="BB2" s="55"/>
      <c r="BC2" s="55"/>
      <c r="BD2" s="55"/>
      <c r="BE2" s="55"/>
      <c r="BF2" s="117" t="s">
        <v>24</v>
      </c>
      <c r="BG2" s="117"/>
      <c r="BH2" s="117"/>
      <c r="BI2" s="65"/>
      <c r="BJ2" s="118" t="s">
        <v>25</v>
      </c>
      <c r="BK2" s="23"/>
      <c r="BL2" s="24"/>
      <c r="BM2" s="25"/>
      <c r="BN2" s="26"/>
      <c r="BO2" s="25"/>
      <c r="BP2" s="27" t="s">
        <v>26</v>
      </c>
      <c r="BQ2" s="27"/>
      <c r="BR2" s="31" t="s">
        <v>27</v>
      </c>
      <c r="BS2" s="31"/>
      <c r="BT2" s="31"/>
      <c r="BU2" s="31"/>
      <c r="BV2" s="31"/>
      <c r="BW2" s="31"/>
      <c r="BX2" s="119" t="s">
        <v>28</v>
      </c>
      <c r="BY2" s="81"/>
      <c r="BZ2" s="120"/>
      <c r="CA2" s="33"/>
      <c r="CB2" s="34"/>
      <c r="CC2" s="34"/>
      <c r="CD2" s="34"/>
      <c r="CE2" s="34"/>
      <c r="CF2" s="34"/>
      <c r="CG2" s="32"/>
      <c r="CH2" s="32"/>
      <c r="CI2" s="35" t="s">
        <v>29</v>
      </c>
      <c r="CJ2" s="36"/>
      <c r="CK2" s="36"/>
      <c r="CL2" s="36"/>
      <c r="CM2" s="37"/>
      <c r="CN2" s="38"/>
      <c r="CO2" s="39"/>
      <c r="CP2" s="39"/>
      <c r="CQ2" s="40">
        <v>0</v>
      </c>
      <c r="CR2" s="108">
        <f>SUBTOTAL(9,CR4:CR1599)/10000</f>
        <v>15.3846</v>
      </c>
      <c r="CS2" s="40"/>
      <c r="CT2" s="40"/>
      <c r="CU2" s="108">
        <f>SUBTOTAL(9,CU4:CU1599)/10000</f>
        <v>8.4846</v>
      </c>
      <c r="CV2" s="121"/>
      <c r="CW2" s="37"/>
      <c r="CX2" s="37"/>
      <c r="CY2" s="122"/>
      <c r="CZ2" s="123"/>
      <c r="DA2" s="123"/>
      <c r="DB2" s="123"/>
      <c r="DC2" s="123"/>
      <c r="DD2" s="123"/>
      <c r="DE2" s="123" t="s">
        <v>30</v>
      </c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41" t="s">
        <v>31</v>
      </c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42" t="s">
        <v>32</v>
      </c>
      <c r="FM2" s="42"/>
      <c r="FN2" s="43"/>
      <c r="FO2" s="44"/>
      <c r="FP2" s="124"/>
      <c r="FQ2" s="125"/>
    </row>
    <row r="3" s="1" customFormat="1" ht="33" customHeight="1" spans="1:176">
      <c r="A3" s="45" t="s">
        <v>33</v>
      </c>
      <c r="B3" s="3" t="s">
        <v>15</v>
      </c>
      <c r="C3" s="45" t="s">
        <v>34</v>
      </c>
      <c r="D3" s="45" t="s">
        <v>35</v>
      </c>
      <c r="E3" s="45" t="s">
        <v>36</v>
      </c>
      <c r="F3" s="46" t="s">
        <v>37</v>
      </c>
      <c r="G3" s="47" t="s">
        <v>38</v>
      </c>
      <c r="H3" s="47" t="s">
        <v>39</v>
      </c>
      <c r="I3" s="46" t="s">
        <v>40</v>
      </c>
      <c r="J3" s="46" t="s">
        <v>41</v>
      </c>
      <c r="K3" s="45" t="s">
        <v>42</v>
      </c>
      <c r="L3" s="45" t="s">
        <v>43</v>
      </c>
      <c r="M3" s="48" t="s">
        <v>44</v>
      </c>
      <c r="N3" s="45" t="s">
        <v>45</v>
      </c>
      <c r="O3" s="49" t="s">
        <v>46</v>
      </c>
      <c r="P3" s="50" t="s">
        <v>47</v>
      </c>
      <c r="Q3" s="51" t="s">
        <v>48</v>
      </c>
      <c r="R3" s="52" t="s">
        <v>49</v>
      </c>
      <c r="S3" s="53" t="s">
        <v>50</v>
      </c>
      <c r="T3" s="54" t="s">
        <v>51</v>
      </c>
      <c r="U3" s="55" t="s">
        <v>52</v>
      </c>
      <c r="V3" s="55" t="s">
        <v>53</v>
      </c>
      <c r="W3" s="55" t="s">
        <v>54</v>
      </c>
      <c r="X3" s="54" t="s">
        <v>55</v>
      </c>
      <c r="Y3" s="54" t="s">
        <v>56</v>
      </c>
      <c r="Z3" s="54" t="s">
        <v>57</v>
      </c>
      <c r="AA3" s="54" t="s">
        <v>58</v>
      </c>
      <c r="AB3" s="54" t="s">
        <v>59</v>
      </c>
      <c r="AC3" s="54" t="s">
        <v>5</v>
      </c>
      <c r="AD3" s="54" t="s">
        <v>60</v>
      </c>
      <c r="AE3" s="55" t="s">
        <v>4</v>
      </c>
      <c r="AF3" s="55" t="s">
        <v>3</v>
      </c>
      <c r="AG3" s="56" t="s">
        <v>61</v>
      </c>
      <c r="AH3" s="56" t="s">
        <v>62</v>
      </c>
      <c r="AI3" s="56" t="s">
        <v>63</v>
      </c>
      <c r="AJ3" s="56" t="s">
        <v>64</v>
      </c>
      <c r="AK3" s="56" t="s">
        <v>65</v>
      </c>
      <c r="AL3" s="56" t="s">
        <v>66</v>
      </c>
      <c r="AM3" s="57" t="s">
        <v>67</v>
      </c>
      <c r="AN3" s="55" t="s">
        <v>68</v>
      </c>
      <c r="AO3" s="58" t="s">
        <v>69</v>
      </c>
      <c r="AP3" s="58" t="s">
        <v>70</v>
      </c>
      <c r="AQ3" s="59" t="s">
        <v>71</v>
      </c>
      <c r="AR3" s="55" t="s">
        <v>72</v>
      </c>
      <c r="AS3" s="55" t="s">
        <v>73</v>
      </c>
      <c r="AT3" s="60" t="s">
        <v>74</v>
      </c>
      <c r="AU3" s="54" t="s">
        <v>75</v>
      </c>
      <c r="AV3" s="54" t="s">
        <v>76</v>
      </c>
      <c r="AW3" s="126" t="s">
        <v>77</v>
      </c>
      <c r="AX3" s="62" t="s">
        <v>78</v>
      </c>
      <c r="AY3" s="63" t="s">
        <v>79</v>
      </c>
      <c r="AZ3" s="63" t="s">
        <v>80</v>
      </c>
      <c r="BA3" s="64" t="s">
        <v>81</v>
      </c>
      <c r="BB3" s="64" t="s">
        <v>82</v>
      </c>
      <c r="BC3" s="64" t="s">
        <v>83</v>
      </c>
      <c r="BD3" s="64" t="s">
        <v>84</v>
      </c>
      <c r="BE3" s="64" t="s">
        <v>85</v>
      </c>
      <c r="BF3" s="117" t="s">
        <v>86</v>
      </c>
      <c r="BG3" s="117" t="s">
        <v>87</v>
      </c>
      <c r="BH3" s="117" t="s">
        <v>88</v>
      </c>
      <c r="BI3" s="65" t="s">
        <v>86</v>
      </c>
      <c r="BJ3" s="66" t="s">
        <v>89</v>
      </c>
      <c r="BK3" s="66" t="s">
        <v>90</v>
      </c>
      <c r="BL3" s="67" t="s">
        <v>91</v>
      </c>
      <c r="BM3" s="68" t="s">
        <v>92</v>
      </c>
      <c r="BN3" s="67" t="s">
        <v>93</v>
      </c>
      <c r="BO3" s="68" t="s">
        <v>94</v>
      </c>
      <c r="BP3" s="69" t="s">
        <v>95</v>
      </c>
      <c r="BQ3" s="71" t="s">
        <v>0</v>
      </c>
      <c r="BR3" s="75" t="s">
        <v>96</v>
      </c>
      <c r="BS3" s="75" t="s">
        <v>97</v>
      </c>
      <c r="BT3" s="75" t="s">
        <v>98</v>
      </c>
      <c r="BU3" s="75" t="s">
        <v>99</v>
      </c>
      <c r="BV3" s="75" t="s">
        <v>100</v>
      </c>
      <c r="BW3" s="76" t="s">
        <v>101</v>
      </c>
      <c r="BX3" s="127" t="s">
        <v>102</v>
      </c>
      <c r="BY3" s="78" t="s">
        <v>103</v>
      </c>
      <c r="BZ3" s="128" t="s">
        <v>104</v>
      </c>
      <c r="CA3" s="79" t="s">
        <v>105</v>
      </c>
      <c r="CB3" s="80" t="s">
        <v>106</v>
      </c>
      <c r="CC3" s="80" t="s">
        <v>107</v>
      </c>
      <c r="CD3" s="80" t="s">
        <v>108</v>
      </c>
      <c r="CE3" s="80" t="s">
        <v>109</v>
      </c>
      <c r="CF3" s="45" t="s">
        <v>110</v>
      </c>
      <c r="CG3" s="81" t="s">
        <v>111</v>
      </c>
      <c r="CH3" s="81" t="s">
        <v>112</v>
      </c>
      <c r="CI3" s="82" t="s">
        <v>113</v>
      </c>
      <c r="CJ3" s="83" t="s">
        <v>114</v>
      </c>
      <c r="CK3" s="83" t="s">
        <v>115</v>
      </c>
      <c r="CL3" s="83" t="s">
        <v>116</v>
      </c>
      <c r="CM3" s="84" t="s">
        <v>117</v>
      </c>
      <c r="CN3" s="85" t="s">
        <v>118</v>
      </c>
      <c r="CO3" s="86" t="s">
        <v>119</v>
      </c>
      <c r="CP3" s="86" t="s">
        <v>120</v>
      </c>
      <c r="CQ3" s="86" t="s">
        <v>121</v>
      </c>
      <c r="CR3" s="86" t="s">
        <v>122</v>
      </c>
      <c r="CS3" s="86" t="s">
        <v>123</v>
      </c>
      <c r="CT3" s="84" t="s">
        <v>124</v>
      </c>
      <c r="CU3" s="86" t="s">
        <v>125</v>
      </c>
      <c r="CV3" s="86" t="s">
        <v>126</v>
      </c>
      <c r="CW3" s="86" t="s">
        <v>127</v>
      </c>
      <c r="CX3" s="86" t="s">
        <v>128</v>
      </c>
      <c r="CY3" s="129" t="s">
        <v>129</v>
      </c>
      <c r="CZ3" s="130" t="s">
        <v>130</v>
      </c>
      <c r="DA3" s="130" t="s">
        <v>131</v>
      </c>
      <c r="DB3" s="130" t="s">
        <v>132</v>
      </c>
      <c r="DC3" s="130" t="s">
        <v>133</v>
      </c>
      <c r="DD3" s="130" t="s">
        <v>134</v>
      </c>
      <c r="DE3" s="130" t="s">
        <v>135</v>
      </c>
      <c r="DF3" s="130" t="s">
        <v>136</v>
      </c>
      <c r="DG3" s="131" t="s">
        <v>137</v>
      </c>
      <c r="DH3" s="131" t="s">
        <v>138</v>
      </c>
      <c r="DI3" s="131" t="s">
        <v>139</v>
      </c>
      <c r="DJ3" s="131" t="s">
        <v>140</v>
      </c>
      <c r="DK3" s="131" t="s">
        <v>141</v>
      </c>
      <c r="DL3" s="131" t="s">
        <v>142</v>
      </c>
      <c r="DM3" s="131" t="s">
        <v>143</v>
      </c>
      <c r="DN3" s="131" t="s">
        <v>144</v>
      </c>
      <c r="DO3" s="131" t="s">
        <v>145</v>
      </c>
      <c r="DP3" s="131" t="s">
        <v>146</v>
      </c>
      <c r="DQ3" s="131" t="s">
        <v>147</v>
      </c>
      <c r="DR3" s="87" t="s">
        <v>148</v>
      </c>
      <c r="DS3" s="87" t="s">
        <v>149</v>
      </c>
      <c r="DT3" s="87" t="s">
        <v>150</v>
      </c>
      <c r="DU3" s="87" t="s">
        <v>151</v>
      </c>
      <c r="DV3" s="88" t="s">
        <v>152</v>
      </c>
      <c r="DW3" s="87" t="s">
        <v>153</v>
      </c>
      <c r="DX3" s="87" t="s">
        <v>154</v>
      </c>
      <c r="DY3" s="87" t="s">
        <v>155</v>
      </c>
      <c r="DZ3" s="87" t="s">
        <v>156</v>
      </c>
      <c r="EA3" s="87" t="s">
        <v>157</v>
      </c>
      <c r="EB3" s="88" t="s">
        <v>158</v>
      </c>
      <c r="EC3" s="88" t="s">
        <v>159</v>
      </c>
      <c r="ED3" s="88" t="s">
        <v>160</v>
      </c>
      <c r="EE3" s="88" t="s">
        <v>161</v>
      </c>
      <c r="EF3" s="88" t="s">
        <v>162</v>
      </c>
      <c r="EG3" s="88" t="s">
        <v>163</v>
      </c>
      <c r="EH3" s="88" t="s">
        <v>164</v>
      </c>
      <c r="EI3" s="87" t="s">
        <v>165</v>
      </c>
      <c r="EJ3" s="87" t="s">
        <v>166</v>
      </c>
      <c r="EK3" s="87" t="s">
        <v>167</v>
      </c>
      <c r="EL3" s="87" t="s">
        <v>168</v>
      </c>
      <c r="EM3" s="87" t="s">
        <v>169</v>
      </c>
      <c r="EN3" s="87" t="s">
        <v>170</v>
      </c>
      <c r="EO3" s="87" t="s">
        <v>171</v>
      </c>
      <c r="EP3" s="87" t="s">
        <v>172</v>
      </c>
      <c r="EQ3" s="87" t="s">
        <v>173</v>
      </c>
      <c r="ER3" s="87" t="s">
        <v>174</v>
      </c>
      <c r="ES3" s="87" t="s">
        <v>175</v>
      </c>
      <c r="ET3" s="87" t="s">
        <v>176</v>
      </c>
      <c r="EU3" s="87" t="s">
        <v>177</v>
      </c>
      <c r="EV3" s="87" t="s">
        <v>178</v>
      </c>
      <c r="EW3" s="87" t="s">
        <v>179</v>
      </c>
      <c r="EX3" s="87" t="s">
        <v>180</v>
      </c>
      <c r="EY3" s="87" t="s">
        <v>181</v>
      </c>
      <c r="EZ3" s="87" t="s">
        <v>182</v>
      </c>
      <c r="FA3" s="87" t="s">
        <v>183</v>
      </c>
      <c r="FB3" s="87" t="s">
        <v>184</v>
      </c>
      <c r="FC3" s="87" t="s">
        <v>185</v>
      </c>
      <c r="FD3" s="87" t="s">
        <v>186</v>
      </c>
      <c r="FE3" s="87" t="s">
        <v>187</v>
      </c>
      <c r="FF3" s="87" t="s">
        <v>188</v>
      </c>
      <c r="FG3" s="87" t="s">
        <v>189</v>
      </c>
      <c r="FH3" s="87" t="s">
        <v>190</v>
      </c>
      <c r="FI3" s="87" t="s">
        <v>191</v>
      </c>
      <c r="FJ3" s="89" t="s">
        <v>192</v>
      </c>
      <c r="FK3" s="87" t="s">
        <v>193</v>
      </c>
      <c r="FL3" s="90" t="s">
        <v>194</v>
      </c>
      <c r="FM3" s="90" t="s">
        <v>195</v>
      </c>
      <c r="FN3" s="90" t="s">
        <v>196</v>
      </c>
      <c r="FO3" s="91" t="s">
        <v>197</v>
      </c>
      <c r="FP3" s="132" t="s">
        <v>198</v>
      </c>
      <c r="FQ3" s="133" t="s">
        <v>199</v>
      </c>
      <c r="FR3" s="134" t="s">
        <v>200</v>
      </c>
      <c r="FS3" s="103" t="s">
        <v>201</v>
      </c>
      <c r="FT3" s="135" t="s">
        <v>202</v>
      </c>
    </row>
    <row r="4" s="2" customFormat="1" ht="45" customHeight="1" spans="1:176">
      <c r="A4" s="92"/>
      <c r="B4" s="93" t="s">
        <v>203</v>
      </c>
      <c r="C4" s="92"/>
      <c r="D4" s="92"/>
      <c r="E4" s="92"/>
      <c r="F4" s="92"/>
      <c r="G4" s="92"/>
      <c r="H4" s="92"/>
      <c r="I4" s="92">
        <v>0</v>
      </c>
      <c r="J4" s="92" t="s">
        <v>204</v>
      </c>
      <c r="K4" s="92"/>
      <c r="L4" s="92"/>
      <c r="M4" s="92" t="s">
        <v>204</v>
      </c>
      <c r="N4" s="92"/>
      <c r="O4" s="92" t="s">
        <v>205</v>
      </c>
      <c r="P4" s="92" t="s">
        <v>206</v>
      </c>
      <c r="Q4" s="94">
        <v>45974</v>
      </c>
      <c r="R4" s="92" t="s">
        <v>207</v>
      </c>
      <c r="S4" s="94">
        <v>45975</v>
      </c>
      <c r="T4" s="136" t="s">
        <v>208</v>
      </c>
      <c r="U4" s="95" t="s">
        <v>209</v>
      </c>
      <c r="V4" s="96" t="s">
        <v>210</v>
      </c>
      <c r="W4" s="96" t="s">
        <v>211</v>
      </c>
      <c r="X4" s="92">
        <f t="shared" ref="X4:X10" si="1">IF(U4=U3,"",1)</f>
        <v>1</v>
      </c>
      <c r="Y4" s="92">
        <v>1</v>
      </c>
      <c r="Z4" s="92">
        <f t="shared" ref="Z4:Z10" si="2">SUMIF(U:U,U:U,Y:Y)</f>
        <v>7</v>
      </c>
      <c r="AA4" s="92" t="s">
        <v>212</v>
      </c>
      <c r="AB4" s="97"/>
      <c r="AC4" s="92" t="s">
        <v>11</v>
      </c>
      <c r="AD4" s="92" t="s">
        <v>213</v>
      </c>
      <c r="AE4" s="92" t="s">
        <v>7</v>
      </c>
      <c r="AF4" s="92" t="s">
        <v>7</v>
      </c>
      <c r="AG4" s="92"/>
      <c r="AH4" s="92"/>
      <c r="AI4" s="92"/>
      <c r="AJ4" s="92"/>
      <c r="AK4" s="92"/>
      <c r="AL4" s="98"/>
      <c r="AM4" s="97" t="s">
        <v>213</v>
      </c>
      <c r="AN4" s="92" t="s">
        <v>214</v>
      </c>
      <c r="AO4" s="92" t="s">
        <v>215</v>
      </c>
      <c r="AP4" s="92" t="s">
        <v>216</v>
      </c>
      <c r="AQ4" s="92" t="s">
        <v>217</v>
      </c>
      <c r="AR4" s="92" t="s">
        <v>218</v>
      </c>
      <c r="AS4" s="92" t="s">
        <v>219</v>
      </c>
      <c r="AT4" s="92" t="e">
        <f>VLOOKUP(AA4,#REF!,6,0)</f>
        <v>#REF!</v>
      </c>
      <c r="AU4" s="92" t="e">
        <f t="shared" ref="AU4:AU10" si="3">AT4=AW4</f>
        <v>#REF!</v>
      </c>
      <c r="AV4" s="92">
        <v>1</v>
      </c>
      <c r="AW4" s="137">
        <v>99</v>
      </c>
      <c r="AX4" s="92">
        <v>59</v>
      </c>
      <c r="AY4" s="92"/>
      <c r="AZ4" s="92"/>
      <c r="BA4" s="92" t="s">
        <v>220</v>
      </c>
      <c r="BB4" s="92" t="s">
        <v>221</v>
      </c>
      <c r="BC4" s="92"/>
      <c r="BD4" s="92"/>
      <c r="BE4" s="92" t="s">
        <v>222</v>
      </c>
      <c r="BF4" s="92"/>
      <c r="BG4" s="92"/>
      <c r="BH4" s="92"/>
      <c r="BI4" s="92" t="s">
        <v>223</v>
      </c>
      <c r="BJ4" s="138">
        <v>46017</v>
      </c>
      <c r="BK4" s="138">
        <v>46017</v>
      </c>
      <c r="BL4" s="92"/>
      <c r="BM4" s="92"/>
      <c r="BN4" s="92"/>
      <c r="BO4" s="92"/>
      <c r="BP4" s="92" t="s">
        <v>224</v>
      </c>
      <c r="BQ4" s="139" t="s">
        <v>225</v>
      </c>
      <c r="BR4" s="92"/>
      <c r="BS4" s="92"/>
      <c r="BT4" s="92" t="s">
        <v>226</v>
      </c>
      <c r="BU4" s="92" t="s">
        <v>227</v>
      </c>
      <c r="BV4" s="92" t="s">
        <v>228</v>
      </c>
      <c r="BW4" s="100">
        <v>0</v>
      </c>
      <c r="BX4" s="92"/>
      <c r="BY4" s="92">
        <v>0</v>
      </c>
      <c r="BZ4" s="92">
        <v>0</v>
      </c>
      <c r="CA4" s="92" t="s">
        <v>229</v>
      </c>
      <c r="CB4" s="92" t="s">
        <v>229</v>
      </c>
      <c r="CC4" s="92"/>
      <c r="CD4" s="92">
        <v>0</v>
      </c>
      <c r="CE4" s="92">
        <v>0</v>
      </c>
      <c r="CF4" s="92"/>
      <c r="CG4" s="92" t="s">
        <v>230</v>
      </c>
      <c r="CH4" s="92">
        <v>0</v>
      </c>
      <c r="CI4" s="92"/>
      <c r="CJ4" s="92"/>
      <c r="CK4" s="92"/>
      <c r="CL4" s="102"/>
      <c r="CM4" s="102"/>
      <c r="CN4" s="92"/>
      <c r="CO4" s="92"/>
      <c r="CP4" s="92"/>
      <c r="CQ4" s="92">
        <f t="shared" ref="CQ4:CQ10" si="4">IF(X4=1,SUMIFS(CR:CR,U:U,U:U),0)</f>
        <v>153846</v>
      </c>
      <c r="CR4" s="92">
        <f t="shared" ref="CR4:CR10" si="5">IFERROR(CU4++CW4,"")</f>
        <v>55000</v>
      </c>
      <c r="CS4" s="92">
        <f t="shared" ref="CS4:CS10" si="6">CR4*AW4</f>
        <v>5445000</v>
      </c>
      <c r="CT4" s="92">
        <f t="shared" ref="CT4:CT10" si="7">IF(X4=1,SUMIFS(CU:CU,U:U,U:U),0)</f>
        <v>84846</v>
      </c>
      <c r="CU4" s="92">
        <v>30000</v>
      </c>
      <c r="CV4" s="102">
        <f t="shared" ref="CV4:CV10" si="8">CU4*AX4</f>
        <v>1770000</v>
      </c>
      <c r="CW4" s="102">
        <f t="shared" ref="CW4:CW10" si="9">CZ4+DD4+DC4+DE4+DF4+DG4+DH4+DI4+DL4+DO4</f>
        <v>25000</v>
      </c>
      <c r="CX4" s="102">
        <f t="shared" ref="CX4:CX10" si="10">CW4*AW4</f>
        <v>2475000</v>
      </c>
      <c r="CY4" s="140">
        <f t="shared" ref="CY4:CY7" si="11">IF(X4=1,SUMIFS(CZ:CZ,U:U,U:U),0)</f>
        <v>0</v>
      </c>
      <c r="CZ4" s="92">
        <v>0</v>
      </c>
      <c r="DA4" s="92"/>
      <c r="DB4" s="92"/>
      <c r="DC4" s="92">
        <v>10000</v>
      </c>
      <c r="DD4" s="92"/>
      <c r="DE4" s="92"/>
      <c r="DF4" s="92"/>
      <c r="DG4" s="92">
        <v>15000</v>
      </c>
      <c r="DH4" s="92">
        <v>0</v>
      </c>
      <c r="DI4" s="92"/>
      <c r="DJ4" s="92"/>
      <c r="DK4" s="92">
        <f t="shared" ref="DK4:DK10" si="12">DI4*AX4</f>
        <v>0</v>
      </c>
      <c r="DL4" s="92"/>
      <c r="DM4" s="92"/>
      <c r="DN4" s="92">
        <f t="shared" ref="DN4:DN10" si="13">DL4*AW4</f>
        <v>0</v>
      </c>
      <c r="DO4" s="92"/>
      <c r="DP4" s="92"/>
      <c r="DQ4" s="92"/>
      <c r="DR4" s="92"/>
      <c r="DS4" s="92">
        <v>10788</v>
      </c>
      <c r="DT4" s="92">
        <v>11772</v>
      </c>
      <c r="DU4" s="92">
        <v>7440</v>
      </c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>
        <f t="shared" ref="FJ4:FJ10" si="14">SUM(DR4:FI4)</f>
        <v>30000</v>
      </c>
      <c r="FK4" s="92">
        <f t="shared" ref="FK4:FK7" si="15">FJ4-CU4</f>
        <v>0</v>
      </c>
      <c r="FL4" s="92">
        <v>75000</v>
      </c>
      <c r="FM4" s="92">
        <f t="shared" ref="FM4:FM10" si="16">FL4*AX4</f>
        <v>4425000</v>
      </c>
      <c r="FN4" s="92">
        <f t="shared" ref="FN4:FN10" si="17">IF(X:X=1,SUMIFS(FL:FL,U:U,U:U),0)</f>
        <v>209846</v>
      </c>
      <c r="FO4" s="92">
        <f t="shared" ref="FO4:FO10" si="18">FN4*AX4</f>
        <v>12380914</v>
      </c>
      <c r="FP4" s="100"/>
      <c r="FQ4" s="100"/>
      <c r="FR4" s="141">
        <v>40000</v>
      </c>
      <c r="FS4" s="100">
        <f t="shared" ref="FS4:FS7" si="19">FR4-CR4</f>
        <v>-15000</v>
      </c>
    </row>
    <row r="5" s="2" customFormat="1" ht="45" customHeight="1" spans="1:176">
      <c r="A5" s="92"/>
      <c r="B5" s="93" t="s">
        <v>203</v>
      </c>
      <c r="C5" s="92"/>
      <c r="D5" s="92"/>
      <c r="E5" s="92"/>
      <c r="F5" s="92"/>
      <c r="G5" s="92"/>
      <c r="H5" s="92"/>
      <c r="I5" s="92">
        <v>0</v>
      </c>
      <c r="J5" s="92" t="s">
        <v>204</v>
      </c>
      <c r="K5" s="92"/>
      <c r="L5" s="92"/>
      <c r="M5" s="92" t="s">
        <v>204</v>
      </c>
      <c r="N5" s="92"/>
      <c r="O5" s="92" t="s">
        <v>231</v>
      </c>
      <c r="P5" s="92" t="s">
        <v>206</v>
      </c>
      <c r="Q5" s="94">
        <v>45974</v>
      </c>
      <c r="R5" s="92" t="s">
        <v>207</v>
      </c>
      <c r="S5" s="94">
        <v>45975</v>
      </c>
      <c r="T5" s="136" t="s">
        <v>208</v>
      </c>
      <c r="U5" s="95" t="s">
        <v>209</v>
      </c>
      <c r="V5" s="96" t="s">
        <v>210</v>
      </c>
      <c r="W5" s="96" t="s">
        <v>211</v>
      </c>
      <c r="X5" s="92" t="str">
        <f t="shared" si="1"/>
        <v/>
      </c>
      <c r="Y5" s="92">
        <v>1</v>
      </c>
      <c r="Z5" s="92">
        <f t="shared" si="2"/>
        <v>7</v>
      </c>
      <c r="AA5" s="92" t="s">
        <v>232</v>
      </c>
      <c r="AB5" s="142"/>
      <c r="AC5" s="92" t="s">
        <v>11</v>
      </c>
      <c r="AD5" s="92" t="s">
        <v>213</v>
      </c>
      <c r="AE5" s="92" t="s">
        <v>7</v>
      </c>
      <c r="AF5" s="92" t="s">
        <v>7</v>
      </c>
      <c r="AG5" s="92"/>
      <c r="AH5" s="92"/>
      <c r="AI5" s="92"/>
      <c r="AJ5" s="92"/>
      <c r="AK5" s="92"/>
      <c r="AL5" s="98"/>
      <c r="AM5" s="97" t="s">
        <v>213</v>
      </c>
      <c r="AN5" s="92" t="s">
        <v>214</v>
      </c>
      <c r="AO5" s="92" t="s">
        <v>215</v>
      </c>
      <c r="AP5" s="92" t="s">
        <v>216</v>
      </c>
      <c r="AQ5" s="92" t="s">
        <v>217</v>
      </c>
      <c r="AR5" s="92" t="s">
        <v>233</v>
      </c>
      <c r="AS5" s="92" t="s">
        <v>234</v>
      </c>
      <c r="AT5" s="92" t="e">
        <f>VLOOKUP(AA5,#REF!,6,0)</f>
        <v>#REF!</v>
      </c>
      <c r="AU5" s="92" t="e">
        <f t="shared" si="3"/>
        <v>#REF!</v>
      </c>
      <c r="AV5" s="92">
        <v>1</v>
      </c>
      <c r="AW5" s="137">
        <v>99</v>
      </c>
      <c r="AX5" s="92">
        <v>59</v>
      </c>
      <c r="AY5" s="92"/>
      <c r="AZ5" s="92"/>
      <c r="BA5" s="92" t="s">
        <v>220</v>
      </c>
      <c r="BB5" s="92" t="s">
        <v>235</v>
      </c>
      <c r="BC5" s="92"/>
      <c r="BD5" s="92"/>
      <c r="BE5" s="92" t="s">
        <v>222</v>
      </c>
      <c r="BF5" s="92"/>
      <c r="BG5" s="92"/>
      <c r="BH5" s="92"/>
      <c r="BI5" s="92" t="s">
        <v>223</v>
      </c>
      <c r="BJ5" s="138">
        <v>46017</v>
      </c>
      <c r="BK5" s="138">
        <v>46017</v>
      </c>
      <c r="BL5" s="92"/>
      <c r="BM5" s="92"/>
      <c r="BN5" s="92"/>
      <c r="BO5" s="92"/>
      <c r="BP5" s="92" t="s">
        <v>224</v>
      </c>
      <c r="BQ5" s="139" t="s">
        <v>225</v>
      </c>
      <c r="BR5" s="92"/>
      <c r="BS5" s="92"/>
      <c r="BT5" s="92" t="s">
        <v>226</v>
      </c>
      <c r="BU5" s="92" t="s">
        <v>227</v>
      </c>
      <c r="BV5" s="92" t="s">
        <v>228</v>
      </c>
      <c r="BW5" s="100">
        <v>0</v>
      </c>
      <c r="BX5" s="92"/>
      <c r="BY5" s="92">
        <v>0</v>
      </c>
      <c r="BZ5" s="92">
        <v>0</v>
      </c>
      <c r="CA5" s="92" t="s">
        <v>229</v>
      </c>
      <c r="CB5" s="92" t="s">
        <v>229</v>
      </c>
      <c r="CC5" s="92"/>
      <c r="CD5" s="92">
        <v>0</v>
      </c>
      <c r="CE5" s="92">
        <v>0</v>
      </c>
      <c r="CF5" s="92"/>
      <c r="CG5" s="92">
        <v>0</v>
      </c>
      <c r="CH5" s="92">
        <v>0</v>
      </c>
      <c r="CI5" s="92"/>
      <c r="CJ5" s="92"/>
      <c r="CK5" s="92"/>
      <c r="CL5" s="102"/>
      <c r="CM5" s="102"/>
      <c r="CN5" s="92"/>
      <c r="CO5" s="92"/>
      <c r="CP5" s="92"/>
      <c r="CQ5" s="92">
        <f t="shared" si="4"/>
        <v>0</v>
      </c>
      <c r="CR5" s="92">
        <f t="shared" si="5"/>
        <v>26500</v>
      </c>
      <c r="CS5" s="92">
        <f t="shared" si="6"/>
        <v>2623500</v>
      </c>
      <c r="CT5" s="92">
        <f t="shared" si="7"/>
        <v>0</v>
      </c>
      <c r="CU5" s="92">
        <v>8000</v>
      </c>
      <c r="CV5" s="102">
        <f t="shared" si="8"/>
        <v>472000</v>
      </c>
      <c r="CW5" s="102">
        <f t="shared" si="9"/>
        <v>18500</v>
      </c>
      <c r="CX5" s="102">
        <f t="shared" si="10"/>
        <v>1831500</v>
      </c>
      <c r="CY5" s="140">
        <f t="shared" si="11"/>
        <v>0</v>
      </c>
      <c r="CZ5" s="92">
        <v>0</v>
      </c>
      <c r="DA5" s="92"/>
      <c r="DB5" s="92"/>
      <c r="DC5" s="92">
        <v>2500</v>
      </c>
      <c r="DD5" s="92"/>
      <c r="DE5" s="92"/>
      <c r="DF5" s="92"/>
      <c r="DG5" s="92">
        <v>16000</v>
      </c>
      <c r="DH5" s="92">
        <v>0</v>
      </c>
      <c r="DI5" s="92"/>
      <c r="DJ5" s="92"/>
      <c r="DK5" s="92">
        <f t="shared" si="12"/>
        <v>0</v>
      </c>
      <c r="DL5" s="92"/>
      <c r="DM5" s="92"/>
      <c r="DN5" s="92">
        <f t="shared" si="13"/>
        <v>0</v>
      </c>
      <c r="DO5" s="92"/>
      <c r="DP5" s="92"/>
      <c r="DQ5" s="92"/>
      <c r="DR5" s="92"/>
      <c r="DS5" s="92">
        <v>2576</v>
      </c>
      <c r="DT5" s="92">
        <v>3170</v>
      </c>
      <c r="DU5" s="92">
        <v>2254</v>
      </c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>
        <f t="shared" si="14"/>
        <v>8000</v>
      </c>
      <c r="FK5" s="92">
        <f t="shared" si="15"/>
        <v>0</v>
      </c>
      <c r="FL5" s="92">
        <v>30500</v>
      </c>
      <c r="FM5" s="92">
        <f t="shared" si="16"/>
        <v>1799500</v>
      </c>
      <c r="FN5" s="92">
        <f t="shared" si="17"/>
        <v>0</v>
      </c>
      <c r="FO5" s="92">
        <f t="shared" si="18"/>
        <v>0</v>
      </c>
      <c r="FP5" s="100"/>
      <c r="FQ5" s="100"/>
      <c r="FR5" s="141">
        <v>10500</v>
      </c>
      <c r="FS5" s="100">
        <f t="shared" si="19"/>
        <v>-16000</v>
      </c>
    </row>
    <row r="6" s="2" customFormat="1" ht="45" customHeight="1" spans="1:176">
      <c r="A6" s="92"/>
      <c r="B6" s="93" t="s">
        <v>203</v>
      </c>
      <c r="C6" s="92"/>
      <c r="D6" s="92"/>
      <c r="E6" s="92"/>
      <c r="F6" s="92"/>
      <c r="G6" s="92"/>
      <c r="H6" s="92"/>
      <c r="I6" s="92">
        <v>0</v>
      </c>
      <c r="J6" s="92" t="s">
        <v>204</v>
      </c>
      <c r="K6" s="92"/>
      <c r="L6" s="92"/>
      <c r="M6" s="92" t="s">
        <v>204</v>
      </c>
      <c r="N6" s="92"/>
      <c r="O6" s="92" t="s">
        <v>231</v>
      </c>
      <c r="P6" s="92" t="s">
        <v>206</v>
      </c>
      <c r="Q6" s="94">
        <v>45974</v>
      </c>
      <c r="R6" s="92" t="s">
        <v>207</v>
      </c>
      <c r="S6" s="94">
        <v>45975</v>
      </c>
      <c r="T6" s="136" t="s">
        <v>208</v>
      </c>
      <c r="U6" s="95" t="s">
        <v>209</v>
      </c>
      <c r="V6" s="96" t="s">
        <v>210</v>
      </c>
      <c r="W6" s="96" t="s">
        <v>211</v>
      </c>
      <c r="X6" s="92" t="str">
        <f t="shared" si="1"/>
        <v/>
      </c>
      <c r="Y6" s="92">
        <v>1</v>
      </c>
      <c r="Z6" s="92">
        <f t="shared" si="2"/>
        <v>7</v>
      </c>
      <c r="AA6" s="92" t="s">
        <v>236</v>
      </c>
      <c r="AB6" s="97"/>
      <c r="AC6" s="92" t="s">
        <v>11</v>
      </c>
      <c r="AD6" s="92" t="s">
        <v>213</v>
      </c>
      <c r="AE6" s="92" t="s">
        <v>7</v>
      </c>
      <c r="AF6" s="92" t="s">
        <v>7</v>
      </c>
      <c r="AG6" s="92"/>
      <c r="AH6" s="92"/>
      <c r="AI6" s="92"/>
      <c r="AJ6" s="92"/>
      <c r="AK6" s="92"/>
      <c r="AL6" s="98"/>
      <c r="AM6" s="97" t="s">
        <v>213</v>
      </c>
      <c r="AN6" s="92" t="s">
        <v>214</v>
      </c>
      <c r="AO6" s="92" t="s">
        <v>215</v>
      </c>
      <c r="AP6" s="92" t="s">
        <v>216</v>
      </c>
      <c r="AQ6" s="92" t="s">
        <v>217</v>
      </c>
      <c r="AR6" s="92" t="s">
        <v>237</v>
      </c>
      <c r="AS6" s="152" t="s">
        <v>238</v>
      </c>
      <c r="AT6" s="92" t="e">
        <f>VLOOKUP(AA6,#REF!,6,0)</f>
        <v>#REF!</v>
      </c>
      <c r="AU6" s="92" t="e">
        <f t="shared" si="3"/>
        <v>#REF!</v>
      </c>
      <c r="AV6" s="92">
        <v>1</v>
      </c>
      <c r="AW6" s="137">
        <v>99</v>
      </c>
      <c r="AX6" s="92">
        <v>59</v>
      </c>
      <c r="AY6" s="92"/>
      <c r="AZ6" s="92"/>
      <c r="BA6" s="92" t="s">
        <v>220</v>
      </c>
      <c r="BB6" s="92" t="s">
        <v>235</v>
      </c>
      <c r="BC6" s="92"/>
      <c r="BD6" s="92"/>
      <c r="BE6" s="92" t="s">
        <v>222</v>
      </c>
      <c r="BF6" s="92"/>
      <c r="BG6" s="92"/>
      <c r="BH6" s="92"/>
      <c r="BI6" s="92" t="s">
        <v>223</v>
      </c>
      <c r="BJ6" s="138">
        <v>46017</v>
      </c>
      <c r="BK6" s="138">
        <v>46017</v>
      </c>
      <c r="BL6" s="92"/>
      <c r="BM6" s="92"/>
      <c r="BN6" s="92"/>
      <c r="BO6" s="92"/>
      <c r="BP6" s="92" t="s">
        <v>224</v>
      </c>
      <c r="BQ6" s="139" t="s">
        <v>225</v>
      </c>
      <c r="BR6" s="92"/>
      <c r="BS6" s="92"/>
      <c r="BT6" s="92" t="s">
        <v>226</v>
      </c>
      <c r="BU6" s="92" t="s">
        <v>227</v>
      </c>
      <c r="BV6" s="92" t="s">
        <v>228</v>
      </c>
      <c r="BW6" s="100">
        <v>0</v>
      </c>
      <c r="BX6" s="92"/>
      <c r="BY6" s="92">
        <v>0</v>
      </c>
      <c r="BZ6" s="92">
        <v>0</v>
      </c>
      <c r="CA6" s="92" t="s">
        <v>229</v>
      </c>
      <c r="CB6" s="92" t="s">
        <v>229</v>
      </c>
      <c r="CC6" s="92"/>
      <c r="CD6" s="92">
        <v>0</v>
      </c>
      <c r="CE6" s="92">
        <v>0</v>
      </c>
      <c r="CF6" s="92"/>
      <c r="CG6" s="92">
        <v>0</v>
      </c>
      <c r="CH6" s="92">
        <v>0</v>
      </c>
      <c r="CI6" s="92"/>
      <c r="CJ6" s="92"/>
      <c r="CK6" s="92"/>
      <c r="CL6" s="102"/>
      <c r="CM6" s="102"/>
      <c r="CN6" s="92"/>
      <c r="CO6" s="92"/>
      <c r="CP6" s="92"/>
      <c r="CQ6" s="92">
        <f t="shared" si="4"/>
        <v>0</v>
      </c>
      <c r="CR6" s="92">
        <f t="shared" si="5"/>
        <v>33500</v>
      </c>
      <c r="CS6" s="92">
        <f t="shared" si="6"/>
        <v>3316500</v>
      </c>
      <c r="CT6" s="92">
        <f t="shared" si="7"/>
        <v>0</v>
      </c>
      <c r="CU6" s="92">
        <v>8000</v>
      </c>
      <c r="CV6" s="102">
        <f t="shared" si="8"/>
        <v>472000</v>
      </c>
      <c r="CW6" s="102">
        <f t="shared" si="9"/>
        <v>25500</v>
      </c>
      <c r="CX6" s="102">
        <f t="shared" si="10"/>
        <v>2524500</v>
      </c>
      <c r="CY6" s="140">
        <f t="shared" si="11"/>
        <v>0</v>
      </c>
      <c r="CZ6" s="92">
        <v>0</v>
      </c>
      <c r="DA6" s="92"/>
      <c r="DB6" s="92"/>
      <c r="DC6" s="92">
        <v>15500</v>
      </c>
      <c r="DD6" s="92"/>
      <c r="DE6" s="92"/>
      <c r="DF6" s="92"/>
      <c r="DG6" s="92">
        <v>10000</v>
      </c>
      <c r="DH6" s="92">
        <v>0</v>
      </c>
      <c r="DI6" s="92"/>
      <c r="DJ6" s="92"/>
      <c r="DK6" s="92">
        <f t="shared" si="12"/>
        <v>0</v>
      </c>
      <c r="DL6" s="92"/>
      <c r="DM6" s="92"/>
      <c r="DN6" s="92">
        <f t="shared" si="13"/>
        <v>0</v>
      </c>
      <c r="DO6" s="92"/>
      <c r="DP6" s="92"/>
      <c r="DQ6" s="92"/>
      <c r="DR6" s="92"/>
      <c r="DS6" s="92">
        <v>2576</v>
      </c>
      <c r="DT6" s="92">
        <v>3170</v>
      </c>
      <c r="DU6" s="92">
        <v>2254</v>
      </c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>
        <f t="shared" si="14"/>
        <v>8000</v>
      </c>
      <c r="FK6" s="92">
        <f t="shared" si="15"/>
        <v>0</v>
      </c>
      <c r="FL6" s="92">
        <v>55500</v>
      </c>
      <c r="FM6" s="92">
        <f t="shared" si="16"/>
        <v>3274500</v>
      </c>
      <c r="FN6" s="92">
        <f t="shared" si="17"/>
        <v>0</v>
      </c>
      <c r="FO6" s="92">
        <f t="shared" si="18"/>
        <v>0</v>
      </c>
      <c r="FP6" s="100"/>
      <c r="FQ6" s="100"/>
      <c r="FR6" s="141">
        <v>23500</v>
      </c>
      <c r="FS6" s="100">
        <f t="shared" si="19"/>
        <v>-10000</v>
      </c>
    </row>
    <row r="7" s="2" customFormat="1" ht="45" customHeight="1" spans="1:176">
      <c r="A7" s="92"/>
      <c r="B7" s="93" t="s">
        <v>203</v>
      </c>
      <c r="C7" s="92"/>
      <c r="D7" s="92"/>
      <c r="E7" s="92"/>
      <c r="F7" s="92"/>
      <c r="G7" s="92"/>
      <c r="H7" s="92"/>
      <c r="I7" s="92">
        <v>0</v>
      </c>
      <c r="J7" s="92" t="s">
        <v>204</v>
      </c>
      <c r="K7" s="92"/>
      <c r="L7" s="92"/>
      <c r="M7" s="92" t="s">
        <v>204</v>
      </c>
      <c r="N7" s="92"/>
      <c r="O7" s="92" t="s">
        <v>231</v>
      </c>
      <c r="P7" s="92" t="s">
        <v>206</v>
      </c>
      <c r="Q7" s="94">
        <v>45974</v>
      </c>
      <c r="R7" s="92" t="s">
        <v>207</v>
      </c>
      <c r="S7" s="94">
        <v>45975</v>
      </c>
      <c r="T7" s="136" t="s">
        <v>208</v>
      </c>
      <c r="U7" s="95" t="s">
        <v>209</v>
      </c>
      <c r="V7" s="96" t="s">
        <v>210</v>
      </c>
      <c r="W7" s="96" t="s">
        <v>211</v>
      </c>
      <c r="X7" s="92" t="str">
        <f t="shared" si="1"/>
        <v/>
      </c>
      <c r="Y7" s="92">
        <v>1</v>
      </c>
      <c r="Z7" s="92">
        <f t="shared" si="2"/>
        <v>7</v>
      </c>
      <c r="AA7" s="92" t="s">
        <v>239</v>
      </c>
      <c r="AB7" s="97"/>
      <c r="AC7" s="92" t="s">
        <v>11</v>
      </c>
      <c r="AD7" s="92" t="s">
        <v>213</v>
      </c>
      <c r="AE7" s="92" t="s">
        <v>7</v>
      </c>
      <c r="AF7" s="92" t="s">
        <v>7</v>
      </c>
      <c r="AG7" s="92"/>
      <c r="AH7" s="92"/>
      <c r="AI7" s="92"/>
      <c r="AJ7" s="92"/>
      <c r="AK7" s="92"/>
      <c r="AL7" s="98"/>
      <c r="AM7" s="97" t="s">
        <v>213</v>
      </c>
      <c r="AN7" s="92" t="s">
        <v>214</v>
      </c>
      <c r="AO7" s="92" t="s">
        <v>215</v>
      </c>
      <c r="AP7" s="92" t="s">
        <v>216</v>
      </c>
      <c r="AQ7" s="92" t="s">
        <v>217</v>
      </c>
      <c r="AR7" s="92" t="s">
        <v>240</v>
      </c>
      <c r="AS7" s="152" t="s">
        <v>241</v>
      </c>
      <c r="AT7" s="92" t="e">
        <f>VLOOKUP(AA7,#REF!,6,0)</f>
        <v>#REF!</v>
      </c>
      <c r="AU7" s="92" t="e">
        <f t="shared" si="3"/>
        <v>#REF!</v>
      </c>
      <c r="AV7" s="92">
        <v>1</v>
      </c>
      <c r="AW7" s="137">
        <v>99</v>
      </c>
      <c r="AX7" s="92">
        <v>59</v>
      </c>
      <c r="AY7" s="92"/>
      <c r="AZ7" s="92"/>
      <c r="BA7" s="92" t="s">
        <v>220</v>
      </c>
      <c r="BB7" s="92" t="s">
        <v>235</v>
      </c>
      <c r="BC7" s="92"/>
      <c r="BD7" s="92"/>
      <c r="BE7" s="92" t="s">
        <v>222</v>
      </c>
      <c r="BF7" s="92"/>
      <c r="BG7" s="92"/>
      <c r="BH7" s="92"/>
      <c r="BI7" s="92" t="s">
        <v>223</v>
      </c>
      <c r="BJ7" s="138">
        <v>46017</v>
      </c>
      <c r="BK7" s="138">
        <v>46017</v>
      </c>
      <c r="BL7" s="92"/>
      <c r="BM7" s="92"/>
      <c r="BN7" s="92"/>
      <c r="BO7" s="92"/>
      <c r="BP7" s="92" t="s">
        <v>224</v>
      </c>
      <c r="BQ7" s="139" t="s">
        <v>225</v>
      </c>
      <c r="BR7" s="92"/>
      <c r="BS7" s="92"/>
      <c r="BT7" s="92" t="s">
        <v>226</v>
      </c>
      <c r="BU7" s="92" t="s">
        <v>227</v>
      </c>
      <c r="BV7" s="92" t="s">
        <v>228</v>
      </c>
      <c r="BW7" s="100">
        <v>0</v>
      </c>
      <c r="BX7" s="92"/>
      <c r="BY7" s="92">
        <v>0</v>
      </c>
      <c r="BZ7" s="92">
        <v>0</v>
      </c>
      <c r="CA7" s="92" t="s">
        <v>229</v>
      </c>
      <c r="CB7" s="92" t="s">
        <v>229</v>
      </c>
      <c r="CC7" s="92"/>
      <c r="CD7" s="92">
        <v>0</v>
      </c>
      <c r="CE7" s="92">
        <v>0</v>
      </c>
      <c r="CF7" s="92"/>
      <c r="CG7" s="92">
        <v>0</v>
      </c>
      <c r="CH7" s="92">
        <v>0</v>
      </c>
      <c r="CI7" s="92"/>
      <c r="CJ7" s="92"/>
      <c r="CK7" s="92"/>
      <c r="CL7" s="102"/>
      <c r="CM7" s="102"/>
      <c r="CN7" s="92"/>
      <c r="CO7" s="92"/>
      <c r="CP7" s="92"/>
      <c r="CQ7" s="92">
        <f t="shared" si="4"/>
        <v>0</v>
      </c>
      <c r="CR7" s="92">
        <f t="shared" si="5"/>
        <v>11700</v>
      </c>
      <c r="CS7" s="92">
        <f t="shared" si="6"/>
        <v>1158300</v>
      </c>
      <c r="CT7" s="92">
        <f t="shared" si="7"/>
        <v>0</v>
      </c>
      <c r="CU7" s="92">
        <v>11700</v>
      </c>
      <c r="CV7" s="102">
        <f t="shared" si="8"/>
        <v>690300</v>
      </c>
      <c r="CW7" s="102">
        <f t="shared" si="9"/>
        <v>0</v>
      </c>
      <c r="CX7" s="102">
        <f t="shared" si="10"/>
        <v>0</v>
      </c>
      <c r="CY7" s="140">
        <f t="shared" si="11"/>
        <v>0</v>
      </c>
      <c r="CZ7" s="92">
        <v>0</v>
      </c>
      <c r="DA7" s="92"/>
      <c r="DB7" s="92"/>
      <c r="DC7" s="92"/>
      <c r="DD7" s="92"/>
      <c r="DE7" s="92"/>
      <c r="DF7" s="92"/>
      <c r="DG7" s="92"/>
      <c r="DH7" s="92">
        <v>0</v>
      </c>
      <c r="DI7" s="92"/>
      <c r="DJ7" s="92"/>
      <c r="DK7" s="92">
        <f t="shared" si="12"/>
        <v>0</v>
      </c>
      <c r="DL7" s="92"/>
      <c r="DM7" s="92"/>
      <c r="DN7" s="92">
        <f t="shared" si="13"/>
        <v>0</v>
      </c>
      <c r="DO7" s="92"/>
      <c r="DP7" s="92"/>
      <c r="DQ7" s="92"/>
      <c r="DR7" s="92"/>
      <c r="DS7" s="92">
        <v>4207</v>
      </c>
      <c r="DT7" s="92">
        <v>4591</v>
      </c>
      <c r="DU7" s="92">
        <v>2902</v>
      </c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92"/>
      <c r="EH7" s="92"/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2"/>
      <c r="FF7" s="92"/>
      <c r="FG7" s="92"/>
      <c r="FH7" s="92"/>
      <c r="FI7" s="92"/>
      <c r="FJ7" s="92">
        <f t="shared" si="14"/>
        <v>11700</v>
      </c>
      <c r="FK7" s="92">
        <f t="shared" si="15"/>
        <v>0</v>
      </c>
      <c r="FL7" s="92">
        <v>11700</v>
      </c>
      <c r="FM7" s="92">
        <f t="shared" si="16"/>
        <v>690300</v>
      </c>
      <c r="FN7" s="92">
        <f t="shared" si="17"/>
        <v>0</v>
      </c>
      <c r="FO7" s="92">
        <f t="shared" si="18"/>
        <v>0</v>
      </c>
      <c r="FP7" s="100"/>
      <c r="FQ7" s="100"/>
      <c r="FR7" s="141">
        <v>11700</v>
      </c>
      <c r="FS7" s="100">
        <f t="shared" si="19"/>
        <v>0</v>
      </c>
    </row>
    <row r="8" s="2" customFormat="1" ht="45" customHeight="1" spans="1:176">
      <c r="A8" s="92"/>
      <c r="B8" s="93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 t="s">
        <v>231</v>
      </c>
      <c r="P8" s="92" t="s">
        <v>206</v>
      </c>
      <c r="Q8" s="94">
        <v>46150</v>
      </c>
      <c r="R8" s="92" t="s">
        <v>242</v>
      </c>
      <c r="S8" s="94">
        <v>46150</v>
      </c>
      <c r="T8" s="136" t="s">
        <v>208</v>
      </c>
      <c r="U8" s="95" t="s">
        <v>209</v>
      </c>
      <c r="V8" s="96" t="s">
        <v>210</v>
      </c>
      <c r="W8" s="96" t="s">
        <v>211</v>
      </c>
      <c r="X8" s="92" t="str">
        <f t="shared" si="1"/>
        <v/>
      </c>
      <c r="Y8" s="92">
        <v>1</v>
      </c>
      <c r="Z8" s="92">
        <f t="shared" si="2"/>
        <v>7</v>
      </c>
      <c r="AA8" s="92" t="s">
        <v>243</v>
      </c>
      <c r="AB8" s="143"/>
      <c r="AC8" s="92" t="s">
        <v>11</v>
      </c>
      <c r="AD8" s="92" t="s">
        <v>213</v>
      </c>
      <c r="AE8" s="92" t="s">
        <v>7</v>
      </c>
      <c r="AF8" s="92" t="s">
        <v>7</v>
      </c>
      <c r="AG8" s="92"/>
      <c r="AH8" s="92"/>
      <c r="AI8" s="92"/>
      <c r="AJ8" s="92"/>
      <c r="AK8" s="92"/>
      <c r="AL8" s="98"/>
      <c r="AM8" s="97" t="s">
        <v>213</v>
      </c>
      <c r="AN8" s="92" t="s">
        <v>214</v>
      </c>
      <c r="AO8" s="92" t="s">
        <v>215</v>
      </c>
      <c r="AP8" s="92" t="s">
        <v>216</v>
      </c>
      <c r="AQ8" s="92" t="s">
        <v>217</v>
      </c>
      <c r="AR8" s="144" t="s">
        <v>244</v>
      </c>
      <c r="AS8" s="153" t="s">
        <v>245</v>
      </c>
      <c r="AT8" s="92" t="e">
        <f>VLOOKUP(AA8,#REF!,6,0)</f>
        <v>#REF!</v>
      </c>
      <c r="AU8" s="92" t="e">
        <f t="shared" si="3"/>
        <v>#REF!</v>
      </c>
      <c r="AV8" s="92">
        <v>1</v>
      </c>
      <c r="AW8" s="137">
        <v>99</v>
      </c>
      <c r="AX8" s="92">
        <v>59</v>
      </c>
      <c r="AY8" s="92"/>
      <c r="AZ8" s="92"/>
      <c r="BA8" s="92" t="s">
        <v>220</v>
      </c>
      <c r="BB8" s="92" t="s">
        <v>235</v>
      </c>
      <c r="BC8" s="92"/>
      <c r="BD8" s="92"/>
      <c r="BE8" s="92"/>
      <c r="BF8" s="92"/>
      <c r="BG8" s="92"/>
      <c r="BH8" s="92"/>
      <c r="BI8" s="92" t="s">
        <v>246</v>
      </c>
      <c r="BJ8" s="138" t="s">
        <v>247</v>
      </c>
      <c r="BK8" s="138">
        <v>46164</v>
      </c>
      <c r="BL8" s="92"/>
      <c r="BM8" s="92"/>
      <c r="BN8" s="92"/>
      <c r="BO8" s="92"/>
      <c r="BP8" s="92" t="s">
        <v>224</v>
      </c>
      <c r="BQ8" s="139" t="s">
        <v>225</v>
      </c>
      <c r="BR8" s="92"/>
      <c r="BS8" s="92"/>
      <c r="BT8" s="92" t="s">
        <v>226</v>
      </c>
      <c r="BU8" s="92" t="s">
        <v>227</v>
      </c>
      <c r="BV8" s="92" t="s">
        <v>228</v>
      </c>
      <c r="BW8" s="100"/>
      <c r="BX8" s="92"/>
      <c r="BY8" s="92" t="s">
        <v>213</v>
      </c>
      <c r="BZ8" s="92"/>
      <c r="CA8" s="92" t="s">
        <v>248</v>
      </c>
      <c r="CB8" s="92"/>
      <c r="CC8" s="92"/>
      <c r="CD8" s="92"/>
      <c r="CE8" s="92"/>
      <c r="CF8" s="92"/>
      <c r="CG8" s="92"/>
      <c r="CH8" s="92"/>
      <c r="CI8" s="92" t="s">
        <v>249</v>
      </c>
      <c r="CJ8" s="92"/>
      <c r="CK8" s="92"/>
      <c r="CL8" s="102"/>
      <c r="CM8" s="102"/>
      <c r="CN8" s="92"/>
      <c r="CO8" s="92"/>
      <c r="CP8" s="92"/>
      <c r="CQ8" s="92">
        <f t="shared" si="4"/>
        <v>0</v>
      </c>
      <c r="CR8" s="92">
        <f t="shared" si="5"/>
        <v>12146</v>
      </c>
      <c r="CS8" s="92">
        <f t="shared" si="6"/>
        <v>1202454</v>
      </c>
      <c r="CT8" s="92">
        <f t="shared" si="7"/>
        <v>0</v>
      </c>
      <c r="CU8" s="92">
        <v>12146</v>
      </c>
      <c r="CV8" s="102">
        <f t="shared" si="8"/>
        <v>716614</v>
      </c>
      <c r="CW8" s="102">
        <f t="shared" si="9"/>
        <v>0</v>
      </c>
      <c r="CX8" s="102">
        <f t="shared" si="10"/>
        <v>0</v>
      </c>
      <c r="CY8" s="140"/>
      <c r="CZ8" s="92"/>
      <c r="DA8" s="92"/>
      <c r="DB8" s="92"/>
      <c r="DC8" s="92"/>
      <c r="DD8" s="92"/>
      <c r="DE8" s="92"/>
      <c r="DF8" s="92"/>
      <c r="DG8" s="92"/>
      <c r="DH8" s="92">
        <v>0</v>
      </c>
      <c r="DI8" s="92"/>
      <c r="DJ8" s="92"/>
      <c r="DK8" s="92">
        <f t="shared" si="12"/>
        <v>0</v>
      </c>
      <c r="DL8" s="92"/>
      <c r="DM8" s="92"/>
      <c r="DN8" s="92">
        <f t="shared" si="13"/>
        <v>0</v>
      </c>
      <c r="DO8" s="92"/>
      <c r="DP8" s="92"/>
      <c r="DQ8" s="92"/>
      <c r="DR8" s="92"/>
      <c r="DS8" s="92">
        <v>4061</v>
      </c>
      <c r="DT8" s="92">
        <v>4814</v>
      </c>
      <c r="DU8" s="92">
        <v>3271</v>
      </c>
      <c r="DV8" s="92"/>
      <c r="DW8" s="92"/>
      <c r="DX8" s="92"/>
      <c r="DY8" s="92"/>
      <c r="DZ8" s="92"/>
      <c r="EA8" s="92"/>
      <c r="EB8" s="92"/>
      <c r="EC8" s="92"/>
      <c r="ED8" s="92"/>
      <c r="EE8" s="92"/>
      <c r="EF8" s="92"/>
      <c r="EG8" s="92"/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2"/>
      <c r="ET8" s="92"/>
      <c r="EU8" s="92"/>
      <c r="EV8" s="92"/>
      <c r="EW8" s="92"/>
      <c r="EX8" s="92"/>
      <c r="EY8" s="92"/>
      <c r="EZ8" s="92"/>
      <c r="FA8" s="92"/>
      <c r="FB8" s="92"/>
      <c r="FC8" s="92"/>
      <c r="FD8" s="92"/>
      <c r="FE8" s="92"/>
      <c r="FF8" s="92"/>
      <c r="FG8" s="92"/>
      <c r="FH8" s="92"/>
      <c r="FI8" s="92"/>
      <c r="FJ8" s="92">
        <f t="shared" si="14"/>
        <v>12146</v>
      </c>
      <c r="FK8" s="92"/>
      <c r="FL8" s="92">
        <v>12146</v>
      </c>
      <c r="FM8" s="92">
        <f t="shared" si="16"/>
        <v>716614</v>
      </c>
      <c r="FN8" s="92">
        <f t="shared" si="17"/>
        <v>0</v>
      </c>
      <c r="FO8" s="92">
        <f t="shared" si="18"/>
        <v>0</v>
      </c>
      <c r="FP8" s="100"/>
      <c r="FQ8" s="100"/>
      <c r="FR8" s="141"/>
      <c r="FS8" s="100"/>
    </row>
    <row r="9" s="2" customFormat="1" ht="45" customHeight="1" spans="1:176">
      <c r="A9" s="92"/>
      <c r="B9" s="93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 t="s">
        <v>231</v>
      </c>
      <c r="P9" s="92" t="s">
        <v>206</v>
      </c>
      <c r="Q9" s="94">
        <v>46150</v>
      </c>
      <c r="R9" s="92" t="s">
        <v>242</v>
      </c>
      <c r="S9" s="94">
        <v>46150</v>
      </c>
      <c r="T9" s="136" t="s">
        <v>208</v>
      </c>
      <c r="U9" s="95" t="s">
        <v>209</v>
      </c>
      <c r="V9" s="96" t="s">
        <v>210</v>
      </c>
      <c r="W9" s="96" t="s">
        <v>211</v>
      </c>
      <c r="X9" s="92" t="str">
        <f t="shared" si="1"/>
        <v/>
      </c>
      <c r="Y9" s="92">
        <v>1</v>
      </c>
      <c r="Z9" s="92">
        <f t="shared" si="2"/>
        <v>7</v>
      </c>
      <c r="AA9" s="92" t="s">
        <v>250</v>
      </c>
      <c r="AB9" s="143"/>
      <c r="AC9" s="92" t="s">
        <v>11</v>
      </c>
      <c r="AD9" s="92" t="s">
        <v>213</v>
      </c>
      <c r="AE9" s="92" t="s">
        <v>7</v>
      </c>
      <c r="AF9" s="92" t="s">
        <v>7</v>
      </c>
      <c r="AG9" s="92"/>
      <c r="AH9" s="92"/>
      <c r="AI9" s="92"/>
      <c r="AJ9" s="92"/>
      <c r="AK9" s="92"/>
      <c r="AL9" s="98"/>
      <c r="AM9" s="97" t="s">
        <v>213</v>
      </c>
      <c r="AN9" s="92" t="s">
        <v>214</v>
      </c>
      <c r="AO9" s="92" t="s">
        <v>215</v>
      </c>
      <c r="AP9" s="92" t="s">
        <v>216</v>
      </c>
      <c r="AQ9" s="92" t="s">
        <v>217</v>
      </c>
      <c r="AR9" s="92" t="s">
        <v>251</v>
      </c>
      <c r="AS9" s="152" t="s">
        <v>252</v>
      </c>
      <c r="AT9" s="92" t="e">
        <f>VLOOKUP(AA9,#REF!,6,0)</f>
        <v>#REF!</v>
      </c>
      <c r="AU9" s="92" t="e">
        <f t="shared" si="3"/>
        <v>#REF!</v>
      </c>
      <c r="AV9" s="92">
        <v>1</v>
      </c>
      <c r="AW9" s="137">
        <v>99</v>
      </c>
      <c r="AX9" s="92">
        <v>59</v>
      </c>
      <c r="AY9" s="92"/>
      <c r="AZ9" s="92"/>
      <c r="BA9" s="92" t="s">
        <v>220</v>
      </c>
      <c r="BB9" s="92" t="s">
        <v>235</v>
      </c>
      <c r="BC9" s="92"/>
      <c r="BD9" s="92"/>
      <c r="BE9" s="92"/>
      <c r="BF9" s="92"/>
      <c r="BG9" s="92"/>
      <c r="BH9" s="92"/>
      <c r="BI9" s="92" t="s">
        <v>246</v>
      </c>
      <c r="BJ9" s="138" t="s">
        <v>247</v>
      </c>
      <c r="BK9" s="138">
        <v>46164</v>
      </c>
      <c r="BL9" s="92"/>
      <c r="BM9" s="92"/>
      <c r="BN9" s="92"/>
      <c r="BO9" s="92"/>
      <c r="BP9" s="92" t="s">
        <v>224</v>
      </c>
      <c r="BQ9" s="139" t="s">
        <v>225</v>
      </c>
      <c r="BR9" s="92"/>
      <c r="BS9" s="92"/>
      <c r="BT9" s="92" t="s">
        <v>226</v>
      </c>
      <c r="BU9" s="92" t="s">
        <v>227</v>
      </c>
      <c r="BV9" s="92" t="s">
        <v>228</v>
      </c>
      <c r="BW9" s="100"/>
      <c r="BX9" s="92"/>
      <c r="BY9" s="92" t="s">
        <v>213</v>
      </c>
      <c r="BZ9" s="92"/>
      <c r="CA9" s="92" t="s">
        <v>248</v>
      </c>
      <c r="CB9" s="92"/>
      <c r="CC9" s="92"/>
      <c r="CD9" s="92"/>
      <c r="CE9" s="92"/>
      <c r="CF9" s="92"/>
      <c r="CG9" s="92"/>
      <c r="CH9" s="92"/>
      <c r="CI9" s="92" t="s">
        <v>249</v>
      </c>
      <c r="CJ9" s="92"/>
      <c r="CK9" s="92"/>
      <c r="CL9" s="102"/>
      <c r="CM9" s="102"/>
      <c r="CN9" s="92"/>
      <c r="CO9" s="92"/>
      <c r="CP9" s="92"/>
      <c r="CQ9" s="92">
        <f t="shared" si="4"/>
        <v>0</v>
      </c>
      <c r="CR9" s="92">
        <f t="shared" si="5"/>
        <v>5000</v>
      </c>
      <c r="CS9" s="92">
        <f t="shared" si="6"/>
        <v>495000</v>
      </c>
      <c r="CT9" s="92">
        <f t="shared" si="7"/>
        <v>0</v>
      </c>
      <c r="CU9" s="92">
        <v>5000</v>
      </c>
      <c r="CV9" s="102">
        <f t="shared" si="8"/>
        <v>295000</v>
      </c>
      <c r="CW9" s="102">
        <f t="shared" si="9"/>
        <v>0</v>
      </c>
      <c r="CX9" s="102">
        <f t="shared" si="10"/>
        <v>0</v>
      </c>
      <c r="CY9" s="140"/>
      <c r="CZ9" s="92"/>
      <c r="DA9" s="92"/>
      <c r="DB9" s="92"/>
      <c r="DC9" s="92"/>
      <c r="DD9" s="92"/>
      <c r="DE9" s="92"/>
      <c r="DF9" s="92"/>
      <c r="DG9" s="92"/>
      <c r="DH9" s="92">
        <v>0</v>
      </c>
      <c r="DI9" s="92"/>
      <c r="DJ9" s="92"/>
      <c r="DK9" s="92">
        <f t="shared" si="12"/>
        <v>0</v>
      </c>
      <c r="DL9" s="92"/>
      <c r="DM9" s="92"/>
      <c r="DN9" s="92">
        <f t="shared" si="13"/>
        <v>0</v>
      </c>
      <c r="DO9" s="92"/>
      <c r="DP9" s="92"/>
      <c r="DQ9" s="92"/>
      <c r="DR9" s="92"/>
      <c r="DS9" s="92">
        <v>1674</v>
      </c>
      <c r="DT9" s="92">
        <v>1981</v>
      </c>
      <c r="DU9" s="92">
        <v>1345</v>
      </c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>
        <f t="shared" si="14"/>
        <v>5000</v>
      </c>
      <c r="FK9" s="92"/>
      <c r="FL9" s="92">
        <v>5000</v>
      </c>
      <c r="FM9" s="92">
        <f t="shared" si="16"/>
        <v>295000</v>
      </c>
      <c r="FN9" s="92">
        <f t="shared" si="17"/>
        <v>0</v>
      </c>
      <c r="FO9" s="92">
        <f t="shared" si="18"/>
        <v>0</v>
      </c>
      <c r="FP9" s="100"/>
      <c r="FQ9" s="100"/>
      <c r="FR9" s="141"/>
      <c r="FS9" s="100"/>
    </row>
    <row r="10" s="2" customFormat="1" ht="45" customHeight="1" spans="1:176">
      <c r="A10" s="92"/>
      <c r="B10" s="93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 t="s">
        <v>231</v>
      </c>
      <c r="P10" s="92" t="s">
        <v>206</v>
      </c>
      <c r="Q10" s="94">
        <v>46150</v>
      </c>
      <c r="R10" s="92" t="s">
        <v>242</v>
      </c>
      <c r="S10" s="94">
        <v>46150</v>
      </c>
      <c r="T10" s="136" t="s">
        <v>208</v>
      </c>
      <c r="U10" s="95" t="s">
        <v>209</v>
      </c>
      <c r="V10" s="96" t="s">
        <v>210</v>
      </c>
      <c r="W10" s="96" t="s">
        <v>211</v>
      </c>
      <c r="X10" s="92" t="str">
        <f t="shared" si="1"/>
        <v/>
      </c>
      <c r="Y10" s="92">
        <v>1</v>
      </c>
      <c r="Z10" s="92">
        <f t="shared" si="2"/>
        <v>7</v>
      </c>
      <c r="AA10" s="92" t="s">
        <v>253</v>
      </c>
      <c r="AB10" s="143"/>
      <c r="AC10" s="92" t="s">
        <v>11</v>
      </c>
      <c r="AD10" s="92" t="s">
        <v>213</v>
      </c>
      <c r="AE10" s="92" t="s">
        <v>7</v>
      </c>
      <c r="AF10" s="92" t="s">
        <v>7</v>
      </c>
      <c r="AG10" s="92"/>
      <c r="AH10" s="92"/>
      <c r="AI10" s="92"/>
      <c r="AJ10" s="92"/>
      <c r="AK10" s="92"/>
      <c r="AL10" s="98"/>
      <c r="AM10" s="97" t="s">
        <v>213</v>
      </c>
      <c r="AN10" s="92" t="s">
        <v>214</v>
      </c>
      <c r="AO10" s="92" t="s">
        <v>215</v>
      </c>
      <c r="AP10" s="92" t="s">
        <v>216</v>
      </c>
      <c r="AQ10" s="92" t="s">
        <v>217</v>
      </c>
      <c r="AR10" s="92" t="s">
        <v>254</v>
      </c>
      <c r="AS10" s="152" t="s">
        <v>255</v>
      </c>
      <c r="AT10" s="92" t="e">
        <f>VLOOKUP(AA10,#REF!,6,0)</f>
        <v>#REF!</v>
      </c>
      <c r="AU10" s="92" t="e">
        <f t="shared" si="3"/>
        <v>#REF!</v>
      </c>
      <c r="AV10" s="92">
        <v>1</v>
      </c>
      <c r="AW10" s="137">
        <v>99</v>
      </c>
      <c r="AX10" s="92">
        <v>59</v>
      </c>
      <c r="AY10" s="92"/>
      <c r="AZ10" s="92"/>
      <c r="BA10" s="92" t="s">
        <v>220</v>
      </c>
      <c r="BB10" s="92" t="s">
        <v>235</v>
      </c>
      <c r="BC10" s="92"/>
      <c r="BD10" s="92"/>
      <c r="BE10" s="92"/>
      <c r="BF10" s="92"/>
      <c r="BG10" s="92"/>
      <c r="BH10" s="92"/>
      <c r="BI10" s="92" t="s">
        <v>246</v>
      </c>
      <c r="BJ10" s="138" t="s">
        <v>247</v>
      </c>
      <c r="BK10" s="138">
        <v>46164</v>
      </c>
      <c r="BL10" s="92"/>
      <c r="BM10" s="92"/>
      <c r="BN10" s="92"/>
      <c r="BO10" s="92"/>
      <c r="BP10" s="92" t="s">
        <v>224</v>
      </c>
      <c r="BQ10" s="139" t="s">
        <v>225</v>
      </c>
      <c r="BR10" s="92"/>
      <c r="BS10" s="92"/>
      <c r="BT10" s="92" t="s">
        <v>226</v>
      </c>
      <c r="BU10" s="92" t="s">
        <v>227</v>
      </c>
      <c r="BV10" s="92" t="s">
        <v>228</v>
      </c>
      <c r="BW10" s="100"/>
      <c r="BX10" s="92"/>
      <c r="BY10" s="92" t="s">
        <v>213</v>
      </c>
      <c r="BZ10" s="92"/>
      <c r="CA10" s="92" t="s">
        <v>248</v>
      </c>
      <c r="CB10" s="92"/>
      <c r="CC10" s="92"/>
      <c r="CD10" s="92"/>
      <c r="CE10" s="92"/>
      <c r="CF10" s="92"/>
      <c r="CG10" s="92"/>
      <c r="CH10" s="92"/>
      <c r="CI10" s="92" t="s">
        <v>249</v>
      </c>
      <c r="CJ10" s="92"/>
      <c r="CK10" s="92"/>
      <c r="CL10" s="102"/>
      <c r="CM10" s="102"/>
      <c r="CN10" s="92"/>
      <c r="CO10" s="92"/>
      <c r="CP10" s="92"/>
      <c r="CQ10" s="92">
        <f t="shared" si="4"/>
        <v>0</v>
      </c>
      <c r="CR10" s="92">
        <f t="shared" si="5"/>
        <v>10000</v>
      </c>
      <c r="CS10" s="92">
        <f t="shared" si="6"/>
        <v>990000</v>
      </c>
      <c r="CT10" s="92">
        <f t="shared" si="7"/>
        <v>0</v>
      </c>
      <c r="CU10" s="92">
        <v>10000</v>
      </c>
      <c r="CV10" s="102">
        <f t="shared" si="8"/>
        <v>590000</v>
      </c>
      <c r="CW10" s="102">
        <f t="shared" si="9"/>
        <v>0</v>
      </c>
      <c r="CX10" s="102">
        <f t="shared" si="10"/>
        <v>0</v>
      </c>
      <c r="CY10" s="140"/>
      <c r="CZ10" s="92"/>
      <c r="DA10" s="92"/>
      <c r="DB10" s="92"/>
      <c r="DC10" s="92"/>
      <c r="DD10" s="92"/>
      <c r="DE10" s="92"/>
      <c r="DF10" s="92"/>
      <c r="DG10" s="92"/>
      <c r="DH10" s="92">
        <v>0</v>
      </c>
      <c r="DI10" s="92"/>
      <c r="DJ10" s="92"/>
      <c r="DK10" s="92">
        <f t="shared" si="12"/>
        <v>0</v>
      </c>
      <c r="DL10" s="92"/>
      <c r="DM10" s="92"/>
      <c r="DN10" s="92">
        <f t="shared" si="13"/>
        <v>0</v>
      </c>
      <c r="DO10" s="92"/>
      <c r="DP10" s="92"/>
      <c r="DQ10" s="92"/>
      <c r="DR10" s="92"/>
      <c r="DS10" s="92">
        <v>3349</v>
      </c>
      <c r="DT10" s="92">
        <v>3962</v>
      </c>
      <c r="DU10" s="92">
        <v>2689</v>
      </c>
      <c r="DV10" s="92"/>
      <c r="DW10" s="92"/>
      <c r="DX10" s="92"/>
      <c r="DY10" s="92"/>
      <c r="DZ10" s="92"/>
      <c r="EA10" s="92"/>
      <c r="EB10" s="92"/>
      <c r="EC10" s="92"/>
      <c r="ED10" s="92"/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2"/>
      <c r="FH10" s="92"/>
      <c r="FI10" s="92"/>
      <c r="FJ10" s="92">
        <f t="shared" si="14"/>
        <v>10000</v>
      </c>
      <c r="FK10" s="92"/>
      <c r="FL10" s="92">
        <v>20000</v>
      </c>
      <c r="FM10" s="92">
        <f t="shared" si="16"/>
        <v>1180000</v>
      </c>
      <c r="FN10" s="92">
        <f t="shared" si="17"/>
        <v>0</v>
      </c>
      <c r="FO10" s="92">
        <f t="shared" si="18"/>
        <v>0</v>
      </c>
      <c r="FP10" s="100"/>
      <c r="FQ10" s="100"/>
      <c r="FR10" s="141"/>
      <c r="FS10" s="100"/>
    </row>
  </sheetData>
  <dataValidations count="1">
    <dataValidation allowBlank="1" showInputMessage="1" showErrorMessage="1" sqref="CZ3 DD3" errorStyle="warning"/>
  </dataValidation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B8"/>
  <sheetViews>
    <sheetView tabSelected="1" workbookViewId="0">
      <selection activeCell="B24" sqref="B24"/>
    </sheetView>
  </sheetViews>
  <sheetFormatPr defaultColWidth="9.23076923076923" defaultRowHeight="16.8" outlineLevelRow="7"/>
  <cols>
    <col min="17" max="17" width="14.1057692307692" customWidth="1"/>
    <col min="19" max="19" width="12.6538461538462" customWidth="1"/>
  </cols>
  <sheetData>
    <row r="1" s="1" customFormat="1" ht="22.5" customHeight="1" spans="1:158">
      <c r="A1" s="3" t="s">
        <v>15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Q1" s="6"/>
      <c r="R1" s="5"/>
      <c r="S1" s="6"/>
      <c r="AA1" s="5"/>
      <c r="AF1" s="1" t="s">
        <v>16</v>
      </c>
      <c r="BE1" s="7"/>
      <c r="BF1" s="8"/>
      <c r="BT1" s="9"/>
      <c r="BU1" s="9"/>
      <c r="BV1" s="9"/>
      <c r="BW1" s="9"/>
      <c r="BX1" s="9"/>
      <c r="BY1" s="9"/>
      <c r="BZ1" s="9"/>
      <c r="CV1" s="1" t="s">
        <v>17</v>
      </c>
      <c r="CW1" s="1" t="s">
        <v>17</v>
      </c>
      <c r="CZ1" s="1" t="s">
        <v>17</v>
      </c>
      <c r="DA1" s="1" t="s">
        <v>17</v>
      </c>
      <c r="DB1" s="1" t="s">
        <v>17</v>
      </c>
      <c r="FB1" s="10"/>
    </row>
    <row r="2" s="1" customFormat="1" ht="30.75" customHeight="1" spans="1:158">
      <c r="A2" s="11" t="s">
        <v>19</v>
      </c>
      <c r="B2" s="12"/>
      <c r="C2" s="11"/>
      <c r="D2" s="11"/>
      <c r="E2" s="11" t="s">
        <v>20</v>
      </c>
      <c r="F2" s="11"/>
      <c r="G2" s="11" t="s">
        <v>21</v>
      </c>
      <c r="H2" s="11" t="s">
        <v>21</v>
      </c>
      <c r="I2" s="11"/>
      <c r="J2" s="11"/>
      <c r="K2" s="11"/>
      <c r="L2" s="11"/>
      <c r="M2" s="11"/>
      <c r="N2" s="11"/>
      <c r="O2" s="13"/>
      <c r="P2" s="13"/>
      <c r="Q2" s="14" t="s">
        <v>256</v>
      </c>
      <c r="R2" s="15"/>
      <c r="S2" s="16"/>
      <c r="T2" s="17" t="s">
        <v>22</v>
      </c>
      <c r="U2" s="18"/>
      <c r="V2" s="18"/>
      <c r="W2" s="18"/>
      <c r="X2" s="18"/>
      <c r="Y2" s="18"/>
      <c r="Z2" s="19"/>
      <c r="AA2" s="15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20"/>
      <c r="AP2" s="18"/>
      <c r="AQ2" s="18"/>
      <c r="AR2" s="18"/>
      <c r="AS2" s="21" t="s">
        <v>23</v>
      </c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22" t="s">
        <v>24</v>
      </c>
      <c r="BF2" s="23"/>
      <c r="BG2" s="24"/>
      <c r="BH2" s="25"/>
      <c r="BI2" s="26"/>
      <c r="BJ2" s="25"/>
      <c r="BK2" s="27" t="s">
        <v>26</v>
      </c>
      <c r="BL2" s="27"/>
      <c r="BM2" s="27"/>
      <c r="BN2" s="27"/>
      <c r="BO2" s="27"/>
      <c r="BP2" s="27"/>
      <c r="BQ2" s="27"/>
      <c r="BR2" s="27"/>
      <c r="BS2" s="27"/>
      <c r="BT2" s="28" t="s">
        <v>257</v>
      </c>
      <c r="BU2" s="29"/>
      <c r="BV2" s="29"/>
      <c r="BW2" s="29"/>
      <c r="BX2" s="29"/>
      <c r="BY2" s="29"/>
      <c r="BZ2" s="30"/>
      <c r="CA2" s="31" t="s">
        <v>27</v>
      </c>
      <c r="CB2" s="31"/>
      <c r="CC2" s="31"/>
      <c r="CD2" s="31"/>
      <c r="CE2" s="31"/>
      <c r="CF2" s="31"/>
      <c r="CG2" s="32" t="s">
        <v>28</v>
      </c>
      <c r="CH2" s="32"/>
      <c r="CI2" s="33"/>
      <c r="CJ2" s="33"/>
      <c r="CK2" s="34"/>
      <c r="CL2" s="34"/>
      <c r="CM2" s="34"/>
      <c r="CN2" s="34"/>
      <c r="CO2" s="34"/>
      <c r="CP2" s="32"/>
      <c r="CQ2" s="32"/>
      <c r="CR2" s="35" t="s">
        <v>29</v>
      </c>
      <c r="CS2" s="36"/>
      <c r="CT2" s="36"/>
      <c r="CU2" s="36"/>
      <c r="CV2" s="37"/>
      <c r="CW2" s="38"/>
      <c r="CX2" s="39"/>
      <c r="CY2" s="39"/>
      <c r="CZ2" s="40">
        <v>0</v>
      </c>
      <c r="DA2" s="40">
        <f>SUBTOTAL(9,DA4:DA1616)</f>
        <v>0</v>
      </c>
      <c r="DB2" s="40"/>
      <c r="DC2" s="40">
        <f>SUBTOTAL(9,DC4:DC1616)</f>
        <v>1600</v>
      </c>
      <c r="DD2" s="37"/>
      <c r="DE2" s="41" t="s">
        <v>31</v>
      </c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42" t="s">
        <v>32</v>
      </c>
      <c r="EZ2" s="42"/>
      <c r="FA2" s="43"/>
      <c r="FB2" s="44"/>
    </row>
    <row r="3" s="1" customFormat="1" ht="45" customHeight="1" spans="1:158">
      <c r="A3" s="45" t="s">
        <v>33</v>
      </c>
      <c r="B3" s="3" t="s">
        <v>258</v>
      </c>
      <c r="C3" s="45" t="s">
        <v>34</v>
      </c>
      <c r="D3" s="45" t="s">
        <v>35</v>
      </c>
      <c r="E3" s="45" t="s">
        <v>36</v>
      </c>
      <c r="F3" s="46" t="s">
        <v>37</v>
      </c>
      <c r="G3" s="47" t="s">
        <v>38</v>
      </c>
      <c r="H3" s="47" t="s">
        <v>39</v>
      </c>
      <c r="I3" s="46" t="s">
        <v>40</v>
      </c>
      <c r="J3" s="46" t="s">
        <v>41</v>
      </c>
      <c r="K3" s="45" t="s">
        <v>42</v>
      </c>
      <c r="L3" s="45" t="s">
        <v>43</v>
      </c>
      <c r="M3" s="48" t="s">
        <v>44</v>
      </c>
      <c r="N3" s="45" t="s">
        <v>45</v>
      </c>
      <c r="O3" s="49" t="s">
        <v>46</v>
      </c>
      <c r="P3" s="50" t="s">
        <v>47</v>
      </c>
      <c r="Q3" s="51" t="s">
        <v>259</v>
      </c>
      <c r="R3" s="52" t="s">
        <v>49</v>
      </c>
      <c r="S3" s="53" t="s">
        <v>50</v>
      </c>
      <c r="T3" s="54" t="s">
        <v>51</v>
      </c>
      <c r="U3" s="55" t="s">
        <v>52</v>
      </c>
      <c r="V3" s="55" t="s">
        <v>53</v>
      </c>
      <c r="W3" s="55" t="s">
        <v>54</v>
      </c>
      <c r="X3" s="54" t="s">
        <v>55</v>
      </c>
      <c r="Y3" s="54" t="s">
        <v>56</v>
      </c>
      <c r="Z3" s="54" t="s">
        <v>57</v>
      </c>
      <c r="AA3" s="54" t="s">
        <v>58</v>
      </c>
      <c r="AB3" s="54" t="s">
        <v>59</v>
      </c>
      <c r="AC3" s="54" t="s">
        <v>5</v>
      </c>
      <c r="AD3" s="54" t="s">
        <v>60</v>
      </c>
      <c r="AE3" s="55" t="s">
        <v>4</v>
      </c>
      <c r="AF3" s="56" t="s">
        <v>61</v>
      </c>
      <c r="AG3" s="56" t="s">
        <v>62</v>
      </c>
      <c r="AH3" s="56" t="s">
        <v>63</v>
      </c>
      <c r="AI3" s="56" t="s">
        <v>64</v>
      </c>
      <c r="AJ3" s="56" t="s">
        <v>65</v>
      </c>
      <c r="AK3" s="56" t="s">
        <v>66</v>
      </c>
      <c r="AL3" s="57" t="s">
        <v>67</v>
      </c>
      <c r="AM3" s="55" t="s">
        <v>68</v>
      </c>
      <c r="AN3" s="58" t="s">
        <v>69</v>
      </c>
      <c r="AO3" s="58" t="s">
        <v>70</v>
      </c>
      <c r="AP3" s="59" t="s">
        <v>71</v>
      </c>
      <c r="AQ3" s="55" t="s">
        <v>72</v>
      </c>
      <c r="AR3" s="55" t="s">
        <v>73</v>
      </c>
      <c r="AS3" s="60" t="s">
        <v>74</v>
      </c>
      <c r="AT3" s="54" t="s">
        <v>75</v>
      </c>
      <c r="AU3" s="54" t="s">
        <v>76</v>
      </c>
      <c r="AV3" s="61" t="s">
        <v>77</v>
      </c>
      <c r="AW3" s="62" t="s">
        <v>78</v>
      </c>
      <c r="AX3" s="63" t="s">
        <v>79</v>
      </c>
      <c r="AY3" s="63" t="s">
        <v>80</v>
      </c>
      <c r="AZ3" s="64" t="s">
        <v>81</v>
      </c>
      <c r="BA3" s="64" t="s">
        <v>82</v>
      </c>
      <c r="BB3" s="64" t="s">
        <v>83</v>
      </c>
      <c r="BC3" s="64" t="s">
        <v>260</v>
      </c>
      <c r="BD3" s="64" t="s">
        <v>85</v>
      </c>
      <c r="BE3" s="65" t="s">
        <v>86</v>
      </c>
      <c r="BF3" s="66" t="s">
        <v>261</v>
      </c>
      <c r="BG3" s="67" t="s">
        <v>91</v>
      </c>
      <c r="BH3" s="68" t="s">
        <v>92</v>
      </c>
      <c r="BI3" s="67" t="s">
        <v>93</v>
      </c>
      <c r="BJ3" s="68" t="s">
        <v>94</v>
      </c>
      <c r="BK3" s="69" t="s">
        <v>95</v>
      </c>
      <c r="BL3" s="69" t="s">
        <v>262</v>
      </c>
      <c r="BM3" s="69" t="s">
        <v>263</v>
      </c>
      <c r="BN3" s="69" t="s">
        <v>264</v>
      </c>
      <c r="BO3" s="69" t="s">
        <v>265</v>
      </c>
      <c r="BP3" s="69" t="s">
        <v>266</v>
      </c>
      <c r="BQ3" s="70" t="s">
        <v>0</v>
      </c>
      <c r="BR3" s="71" t="s">
        <v>267</v>
      </c>
      <c r="BS3" s="71" t="s">
        <v>268</v>
      </c>
      <c r="BT3" s="9" t="s">
        <v>269</v>
      </c>
      <c r="BU3" s="72" t="s">
        <v>270</v>
      </c>
      <c r="BV3" s="72" t="s">
        <v>271</v>
      </c>
      <c r="BW3" s="72" t="s">
        <v>272</v>
      </c>
      <c r="BX3" s="73" t="s">
        <v>273</v>
      </c>
      <c r="BY3" s="73" t="s">
        <v>274</v>
      </c>
      <c r="BZ3" s="74" t="s">
        <v>275</v>
      </c>
      <c r="CA3" s="75" t="s">
        <v>96</v>
      </c>
      <c r="CB3" s="75" t="s">
        <v>97</v>
      </c>
      <c r="CC3" s="75" t="s">
        <v>98</v>
      </c>
      <c r="CD3" s="75" t="s">
        <v>99</v>
      </c>
      <c r="CE3" s="75" t="s">
        <v>100</v>
      </c>
      <c r="CF3" s="76" t="s">
        <v>101</v>
      </c>
      <c r="CG3" s="77" t="s">
        <v>102</v>
      </c>
      <c r="CH3" s="78" t="s">
        <v>103</v>
      </c>
      <c r="CI3" s="79" t="s">
        <v>104</v>
      </c>
      <c r="CJ3" s="79" t="s">
        <v>105</v>
      </c>
      <c r="CK3" s="80" t="s">
        <v>106</v>
      </c>
      <c r="CL3" s="80" t="s">
        <v>107</v>
      </c>
      <c r="CM3" s="80" t="s">
        <v>108</v>
      </c>
      <c r="CN3" s="80" t="s">
        <v>109</v>
      </c>
      <c r="CO3" s="45" t="s">
        <v>110</v>
      </c>
      <c r="CP3" s="81" t="s">
        <v>111</v>
      </c>
      <c r="CQ3" s="81" t="s">
        <v>112</v>
      </c>
      <c r="CR3" s="82" t="s">
        <v>113</v>
      </c>
      <c r="CS3" s="83" t="s">
        <v>114</v>
      </c>
      <c r="CT3" s="83" t="s">
        <v>115</v>
      </c>
      <c r="CU3" s="83" t="s">
        <v>116</v>
      </c>
      <c r="CV3" s="84" t="s">
        <v>117</v>
      </c>
      <c r="CW3" s="85" t="s">
        <v>118</v>
      </c>
      <c r="CX3" s="86" t="s">
        <v>119</v>
      </c>
      <c r="CY3" s="86" t="s">
        <v>120</v>
      </c>
      <c r="CZ3" s="86" t="s">
        <v>121</v>
      </c>
      <c r="DA3" s="86" t="s">
        <v>122</v>
      </c>
      <c r="DB3" s="84" t="s">
        <v>124</v>
      </c>
      <c r="DC3" s="86" t="s">
        <v>125</v>
      </c>
      <c r="DD3" s="86" t="s">
        <v>126</v>
      </c>
      <c r="DE3" s="87" t="s">
        <v>148</v>
      </c>
      <c r="DF3" s="87" t="s">
        <v>149</v>
      </c>
      <c r="DG3" s="87" t="s">
        <v>150</v>
      </c>
      <c r="DH3" s="87" t="s">
        <v>151</v>
      </c>
      <c r="DI3" s="88" t="s">
        <v>152</v>
      </c>
      <c r="DJ3" s="87" t="s">
        <v>153</v>
      </c>
      <c r="DK3" s="87" t="s">
        <v>154</v>
      </c>
      <c r="DL3" s="87" t="s">
        <v>155</v>
      </c>
      <c r="DM3" s="87" t="s">
        <v>156</v>
      </c>
      <c r="DN3" s="87" t="s">
        <v>157</v>
      </c>
      <c r="DO3" s="88" t="s">
        <v>158</v>
      </c>
      <c r="DP3" s="88" t="s">
        <v>159</v>
      </c>
      <c r="DQ3" s="88" t="s">
        <v>160</v>
      </c>
      <c r="DR3" s="88" t="s">
        <v>161</v>
      </c>
      <c r="DS3" s="88" t="s">
        <v>162</v>
      </c>
      <c r="DT3" s="88" t="s">
        <v>163</v>
      </c>
      <c r="DU3" s="88" t="s">
        <v>164</v>
      </c>
      <c r="DV3" s="87" t="s">
        <v>165</v>
      </c>
      <c r="DW3" s="87" t="s">
        <v>166</v>
      </c>
      <c r="DX3" s="87" t="s">
        <v>167</v>
      </c>
      <c r="DY3" s="87" t="s">
        <v>168</v>
      </c>
      <c r="DZ3" s="87" t="s">
        <v>169</v>
      </c>
      <c r="EA3" s="87" t="s">
        <v>170</v>
      </c>
      <c r="EB3" s="87" t="s">
        <v>171</v>
      </c>
      <c r="EC3" s="87" t="s">
        <v>172</v>
      </c>
      <c r="ED3" s="87" t="s">
        <v>173</v>
      </c>
      <c r="EE3" s="87" t="s">
        <v>174</v>
      </c>
      <c r="EF3" s="87" t="s">
        <v>175</v>
      </c>
      <c r="EG3" s="87" t="s">
        <v>176</v>
      </c>
      <c r="EH3" s="87" t="s">
        <v>177</v>
      </c>
      <c r="EI3" s="87" t="s">
        <v>178</v>
      </c>
      <c r="EJ3" s="87" t="s">
        <v>179</v>
      </c>
      <c r="EK3" s="87" t="s">
        <v>180</v>
      </c>
      <c r="EL3" s="87" t="s">
        <v>181</v>
      </c>
      <c r="EM3" s="87" t="s">
        <v>182</v>
      </c>
      <c r="EN3" s="87" t="s">
        <v>183</v>
      </c>
      <c r="EO3" s="87" t="s">
        <v>184</v>
      </c>
      <c r="EP3" s="87" t="s">
        <v>185</v>
      </c>
      <c r="EQ3" s="87" t="s">
        <v>186</v>
      </c>
      <c r="ER3" s="87" t="s">
        <v>187</v>
      </c>
      <c r="ES3" s="87" t="s">
        <v>188</v>
      </c>
      <c r="ET3" s="87" t="s">
        <v>189</v>
      </c>
      <c r="EU3" s="87" t="s">
        <v>190</v>
      </c>
      <c r="EV3" s="87" t="s">
        <v>191</v>
      </c>
      <c r="EW3" s="89" t="s">
        <v>192</v>
      </c>
      <c r="EX3" s="87" t="s">
        <v>193</v>
      </c>
      <c r="EY3" s="90" t="s">
        <v>194</v>
      </c>
      <c r="EZ3" s="90" t="s">
        <v>195</v>
      </c>
      <c r="FA3" s="90" t="s">
        <v>196</v>
      </c>
      <c r="FB3" s="91" t="s">
        <v>197</v>
      </c>
    </row>
    <row r="4" s="2" customFormat="1" ht="54.95" customHeight="1" spans="1:158">
      <c r="A4" s="92"/>
      <c r="B4" s="93">
        <v>0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 t="s">
        <v>204</v>
      </c>
      <c r="N4" s="92"/>
      <c r="O4" s="92"/>
      <c r="P4" s="92" t="s">
        <v>276</v>
      </c>
      <c r="Q4" s="94">
        <v>46099</v>
      </c>
      <c r="R4" s="92"/>
      <c r="S4" s="94">
        <v>46094</v>
      </c>
      <c r="T4" s="92" t="str">
        <f t="shared" ref="T4:T8" si="0">IF(LEN(U4)=12,MID(U4,4,3),MID(U4,5,3))</f>
        <v>326</v>
      </c>
      <c r="U4" s="95" t="s">
        <v>277</v>
      </c>
      <c r="V4" s="96" t="s">
        <v>278</v>
      </c>
      <c r="W4" s="96"/>
      <c r="X4" s="92">
        <f t="shared" ref="X4:X8" si="1">IF(U4=U3,0,1)</f>
        <v>1</v>
      </c>
      <c r="Y4" s="92">
        <v>1</v>
      </c>
      <c r="Z4" s="92">
        <f t="shared" ref="Z4:Z8" si="2">SUMIFS(Y$1:Y$395,U$1:U$395,U$1:U$395)</f>
        <v>1</v>
      </c>
      <c r="AA4" s="97" t="s">
        <v>279</v>
      </c>
      <c r="AB4" s="97" t="s">
        <v>280</v>
      </c>
      <c r="AC4" s="92" t="s">
        <v>11</v>
      </c>
      <c r="AD4" s="92" t="s">
        <v>281</v>
      </c>
      <c r="AE4" s="92" t="s">
        <v>8</v>
      </c>
      <c r="AF4" s="92" t="s">
        <v>203</v>
      </c>
      <c r="AG4" s="92" t="s">
        <v>282</v>
      </c>
      <c r="AH4" s="92"/>
      <c r="AI4" s="92"/>
      <c r="AJ4" s="92" t="s">
        <v>283</v>
      </c>
      <c r="AK4" s="98" t="s">
        <v>284</v>
      </c>
      <c r="AL4" s="97" t="s">
        <v>285</v>
      </c>
      <c r="AM4" s="92" t="s">
        <v>286</v>
      </c>
      <c r="AN4" s="92" t="s">
        <v>287</v>
      </c>
      <c r="AO4" s="92" t="s">
        <v>288</v>
      </c>
      <c r="AP4" s="92" t="s">
        <v>289</v>
      </c>
      <c r="AQ4" s="92" t="s">
        <v>290</v>
      </c>
      <c r="AR4" s="92" t="s">
        <v>291</v>
      </c>
      <c r="AS4" s="92" t="e">
        <f>VLOOKUP(U4,#REF!,5,0)</f>
        <v>#REF!</v>
      </c>
      <c r="AT4" s="92" t="e">
        <f t="shared" ref="AT4:AT8" si="3">AS4=AV4</f>
        <v>#REF!</v>
      </c>
      <c r="AU4" s="92"/>
      <c r="AV4" s="92">
        <v>239</v>
      </c>
      <c r="AW4" s="92">
        <v>239</v>
      </c>
      <c r="AX4" s="92"/>
      <c r="AY4" s="92"/>
      <c r="AZ4" s="92" t="s">
        <v>292</v>
      </c>
      <c r="BA4" s="92" t="s">
        <v>293</v>
      </c>
      <c r="BB4" s="92" t="s">
        <v>280</v>
      </c>
      <c r="BC4" s="92"/>
      <c r="BD4" s="92" t="s">
        <v>294</v>
      </c>
      <c r="BE4" s="92">
        <v>3</v>
      </c>
      <c r="BF4" s="94">
        <v>46206</v>
      </c>
      <c r="BG4" s="94"/>
      <c r="BH4" s="92"/>
      <c r="BI4" s="92"/>
      <c r="BJ4" s="92"/>
      <c r="BK4" s="92" t="s">
        <v>295</v>
      </c>
      <c r="BL4" s="92" t="s">
        <v>296</v>
      </c>
      <c r="BM4" s="92">
        <v>1</v>
      </c>
      <c r="BN4" s="92" t="s">
        <v>297</v>
      </c>
      <c r="BO4" s="92">
        <f t="shared" ref="BO4:BO8" si="4">EY4-DC4</f>
        <v>400</v>
      </c>
      <c r="BP4" s="92">
        <f t="shared" ref="BP4:BP8" si="5">BO4*AV4</f>
        <v>95600</v>
      </c>
      <c r="BQ4" s="92" t="s">
        <v>1</v>
      </c>
      <c r="BR4" s="92">
        <v>1</v>
      </c>
      <c r="BS4" s="94">
        <v>46192</v>
      </c>
      <c r="BT4" s="99" t="s">
        <v>298</v>
      </c>
      <c r="BU4" s="99" t="s">
        <v>280</v>
      </c>
      <c r="BV4" s="99" t="s">
        <v>299</v>
      </c>
      <c r="BW4" s="99" t="s">
        <v>280</v>
      </c>
      <c r="BX4" s="99">
        <v>0</v>
      </c>
      <c r="BY4" s="99">
        <v>0</v>
      </c>
      <c r="BZ4" s="99"/>
      <c r="CA4" s="92"/>
      <c r="CB4" s="92"/>
      <c r="CC4" s="92" t="s">
        <v>300</v>
      </c>
      <c r="CD4" s="92" t="s">
        <v>301</v>
      </c>
      <c r="CE4" s="92" t="s">
        <v>302</v>
      </c>
      <c r="CF4" s="92" t="s">
        <v>303</v>
      </c>
      <c r="CG4" s="100"/>
      <c r="CH4" s="101" t="s">
        <v>304</v>
      </c>
      <c r="CI4" s="92"/>
      <c r="CJ4" s="92">
        <v>1</v>
      </c>
      <c r="CK4" s="92" t="s">
        <v>305</v>
      </c>
      <c r="CL4" s="92"/>
      <c r="CM4" s="92">
        <v>0</v>
      </c>
      <c r="CN4" s="92">
        <v>0</v>
      </c>
      <c r="CO4" s="92"/>
      <c r="CP4" s="92">
        <v>0</v>
      </c>
      <c r="CQ4" s="92">
        <v>0</v>
      </c>
      <c r="CR4" s="92">
        <v>20260630</v>
      </c>
      <c r="CS4" s="92"/>
      <c r="CT4" s="92"/>
      <c r="CU4" s="92"/>
      <c r="CV4" s="102"/>
      <c r="CW4" s="102"/>
      <c r="CX4" s="92"/>
      <c r="CY4" s="92"/>
      <c r="CZ4" s="92"/>
      <c r="DA4" s="92"/>
      <c r="DB4" s="92">
        <f t="shared" ref="DB4:DB8" si="6">IF(X:X=1,SUMIFS(DC:DC,U:U,U:U),0)</f>
        <v>600</v>
      </c>
      <c r="DC4" s="92">
        <v>600</v>
      </c>
      <c r="DD4" s="102">
        <f t="shared" ref="DD4:DD8" si="7">DC4*AV4</f>
        <v>143400</v>
      </c>
      <c r="DE4" s="92"/>
      <c r="DF4" s="92"/>
      <c r="DG4" s="92"/>
      <c r="DH4" s="92">
        <v>5</v>
      </c>
      <c r="DI4" s="92">
        <v>29</v>
      </c>
      <c r="DJ4" s="92">
        <v>104</v>
      </c>
      <c r="DK4" s="92">
        <v>277</v>
      </c>
      <c r="DL4" s="92">
        <v>185</v>
      </c>
      <c r="DM4" s="92">
        <v>0</v>
      </c>
      <c r="DN4" s="92">
        <v>0</v>
      </c>
      <c r="DO4" s="92">
        <v>0</v>
      </c>
      <c r="DP4" s="92">
        <v>0</v>
      </c>
      <c r="DQ4" s="92">
        <v>0</v>
      </c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>
        <f t="shared" ref="EW4:EW8" si="8">SUM(DE4:EV4)</f>
        <v>600</v>
      </c>
      <c r="EX4" s="92">
        <f t="shared" ref="EX4:EX8" si="9">EW4-DC4</f>
        <v>0</v>
      </c>
      <c r="EY4" s="92">
        <v>1000</v>
      </c>
      <c r="EZ4" s="92">
        <f t="shared" ref="EZ4:EZ8" si="10">EY4*AV4</f>
        <v>239000</v>
      </c>
      <c r="FA4" s="92">
        <f t="shared" ref="FA4:FA8" si="11">IF(X4=1,SUMIFS(EY:EY,U:U,U:U),0)</f>
        <v>1000</v>
      </c>
      <c r="FB4" s="92">
        <f t="shared" ref="FB4:FB8" si="12">FA4*AW4</f>
        <v>239000</v>
      </c>
    </row>
    <row r="5" s="2" customFormat="1" ht="54.95" customHeight="1" spans="1:158">
      <c r="A5" s="92"/>
      <c r="B5" s="93">
        <v>0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 t="s">
        <v>204</v>
      </c>
      <c r="N5" s="92"/>
      <c r="O5" s="92"/>
      <c r="P5" s="92" t="s">
        <v>276</v>
      </c>
      <c r="Q5" s="94">
        <v>46099</v>
      </c>
      <c r="R5" s="92"/>
      <c r="S5" s="94">
        <v>46094</v>
      </c>
      <c r="T5" s="92" t="str">
        <f t="shared" si="0"/>
        <v>326</v>
      </c>
      <c r="U5" s="95" t="s">
        <v>306</v>
      </c>
      <c r="V5" s="96" t="s">
        <v>307</v>
      </c>
      <c r="W5" s="96"/>
      <c r="X5" s="92">
        <f t="shared" si="1"/>
        <v>1</v>
      </c>
      <c r="Y5" s="92">
        <v>1</v>
      </c>
      <c r="Z5" s="92">
        <f t="shared" si="2"/>
        <v>2</v>
      </c>
      <c r="AA5" s="97" t="s">
        <v>308</v>
      </c>
      <c r="AB5" s="97" t="s">
        <v>280</v>
      </c>
      <c r="AC5" s="92" t="s">
        <v>11</v>
      </c>
      <c r="AD5" s="92" t="s">
        <v>281</v>
      </c>
      <c r="AE5" s="92" t="s">
        <v>8</v>
      </c>
      <c r="AF5" s="92" t="s">
        <v>309</v>
      </c>
      <c r="AG5" s="92" t="s">
        <v>310</v>
      </c>
      <c r="AH5" s="92"/>
      <c r="AI5" s="92"/>
      <c r="AJ5" s="92" t="s">
        <v>311</v>
      </c>
      <c r="AK5" s="98" t="s">
        <v>284</v>
      </c>
      <c r="AL5" s="97" t="s">
        <v>285</v>
      </c>
      <c r="AM5" s="92" t="s">
        <v>286</v>
      </c>
      <c r="AN5" s="92" t="s">
        <v>287</v>
      </c>
      <c r="AO5" s="92" t="s">
        <v>288</v>
      </c>
      <c r="AP5" s="92" t="s">
        <v>289</v>
      </c>
      <c r="AQ5" s="92" t="s">
        <v>312</v>
      </c>
      <c r="AR5" s="92" t="s">
        <v>313</v>
      </c>
      <c r="AS5" s="92" t="e">
        <f>VLOOKUP(U5,#REF!,5,0)</f>
        <v>#REF!</v>
      </c>
      <c r="AT5" s="92" t="e">
        <f t="shared" si="3"/>
        <v>#REF!</v>
      </c>
      <c r="AU5" s="92"/>
      <c r="AV5" s="92">
        <v>239</v>
      </c>
      <c r="AW5" s="92">
        <v>239</v>
      </c>
      <c r="AX5" s="92"/>
      <c r="AY5" s="92"/>
      <c r="AZ5" s="92" t="s">
        <v>292</v>
      </c>
      <c r="BA5" s="92" t="s">
        <v>314</v>
      </c>
      <c r="BB5" s="92" t="s">
        <v>280</v>
      </c>
      <c r="BC5" s="92"/>
      <c r="BD5" s="92" t="s">
        <v>315</v>
      </c>
      <c r="BE5" s="92">
        <v>5</v>
      </c>
      <c r="BF5" s="94">
        <v>46220</v>
      </c>
      <c r="BG5" s="94"/>
      <c r="BH5" s="92"/>
      <c r="BI5" s="92"/>
      <c r="BJ5" s="92"/>
      <c r="BK5" s="92" t="s">
        <v>316</v>
      </c>
      <c r="BL5" s="92" t="s">
        <v>296</v>
      </c>
      <c r="BM5" s="92">
        <v>1</v>
      </c>
      <c r="BN5" s="92"/>
      <c r="BO5" s="92">
        <f t="shared" si="4"/>
        <v>0</v>
      </c>
      <c r="BP5" s="92">
        <f t="shared" si="5"/>
        <v>0</v>
      </c>
      <c r="BQ5" s="92" t="s">
        <v>1</v>
      </c>
      <c r="BR5" s="92">
        <v>1</v>
      </c>
      <c r="BS5" s="94">
        <v>46185</v>
      </c>
      <c r="BT5" s="99" t="s">
        <v>298</v>
      </c>
      <c r="BU5" s="99" t="s">
        <v>309</v>
      </c>
      <c r="BV5" s="99" t="s">
        <v>299</v>
      </c>
      <c r="BW5" s="99" t="s">
        <v>280</v>
      </c>
      <c r="BX5" s="99">
        <v>0</v>
      </c>
      <c r="BY5" s="99">
        <v>0</v>
      </c>
      <c r="BZ5" s="99"/>
      <c r="CA5" s="92"/>
      <c r="CB5" s="92"/>
      <c r="CC5" s="92" t="s">
        <v>300</v>
      </c>
      <c r="CD5" s="92" t="s">
        <v>301</v>
      </c>
      <c r="CE5" s="92" t="s">
        <v>302</v>
      </c>
      <c r="CF5" s="92" t="s">
        <v>303</v>
      </c>
      <c r="CG5" s="100"/>
      <c r="CH5" s="101" t="s">
        <v>304</v>
      </c>
      <c r="CI5" s="92"/>
      <c r="CJ5" s="92" t="s">
        <v>317</v>
      </c>
      <c r="CK5" s="92">
        <v>0</v>
      </c>
      <c r="CL5" s="92"/>
      <c r="CM5" s="92">
        <v>0</v>
      </c>
      <c r="CN5" s="92">
        <v>0</v>
      </c>
      <c r="CO5" s="92"/>
      <c r="CP5" s="92">
        <v>0</v>
      </c>
      <c r="CQ5" s="92">
        <v>0</v>
      </c>
      <c r="CR5" s="92" t="s">
        <v>318</v>
      </c>
      <c r="CS5" s="92"/>
      <c r="CT5" s="92"/>
      <c r="CU5" s="92"/>
      <c r="CV5" s="102"/>
      <c r="CW5" s="102"/>
      <c r="CX5" s="92"/>
      <c r="CY5" s="92"/>
      <c r="CZ5" s="92"/>
      <c r="DA5" s="92"/>
      <c r="DB5" s="92">
        <f t="shared" si="6"/>
        <v>500</v>
      </c>
      <c r="DC5" s="92">
        <v>200</v>
      </c>
      <c r="DD5" s="102">
        <f t="shared" si="7"/>
        <v>47800</v>
      </c>
      <c r="DE5" s="92"/>
      <c r="DF5" s="92"/>
      <c r="DG5" s="92"/>
      <c r="DH5" s="92">
        <v>5</v>
      </c>
      <c r="DI5" s="92">
        <v>10</v>
      </c>
      <c r="DJ5" s="92">
        <v>35</v>
      </c>
      <c r="DK5" s="92">
        <v>92</v>
      </c>
      <c r="DL5" s="92">
        <v>58</v>
      </c>
      <c r="DM5" s="92">
        <v>0</v>
      </c>
      <c r="DN5" s="92">
        <v>0</v>
      </c>
      <c r="DO5" s="92">
        <v>0</v>
      </c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>
        <f t="shared" si="8"/>
        <v>200</v>
      </c>
      <c r="EX5" s="92">
        <f t="shared" si="9"/>
        <v>0</v>
      </c>
      <c r="EY5" s="92">
        <v>200</v>
      </c>
      <c r="EZ5" s="92">
        <f t="shared" si="10"/>
        <v>47800</v>
      </c>
      <c r="FA5" s="92">
        <f t="shared" si="11"/>
        <v>500</v>
      </c>
      <c r="FB5" s="92">
        <f t="shared" si="12"/>
        <v>119500</v>
      </c>
    </row>
    <row r="6" s="2" customFormat="1" ht="54.95" customHeight="1" spans="1:158">
      <c r="A6" s="92"/>
      <c r="B6" s="93">
        <v>0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 t="s">
        <v>204</v>
      </c>
      <c r="N6" s="92"/>
      <c r="O6" s="92"/>
      <c r="P6" s="92" t="s">
        <v>276</v>
      </c>
      <c r="Q6" s="94">
        <v>46099</v>
      </c>
      <c r="R6" s="92"/>
      <c r="S6" s="94">
        <v>46094</v>
      </c>
      <c r="T6" s="92" t="str">
        <f t="shared" si="0"/>
        <v>326</v>
      </c>
      <c r="U6" s="95" t="s">
        <v>306</v>
      </c>
      <c r="V6" s="96" t="s">
        <v>307</v>
      </c>
      <c r="W6" s="96"/>
      <c r="X6" s="92">
        <f t="shared" si="1"/>
        <v>0</v>
      </c>
      <c r="Y6" s="92">
        <v>1</v>
      </c>
      <c r="Z6" s="92">
        <f t="shared" si="2"/>
        <v>2</v>
      </c>
      <c r="AA6" s="97" t="s">
        <v>319</v>
      </c>
      <c r="AB6" s="97" t="s">
        <v>280</v>
      </c>
      <c r="AC6" s="92" t="s">
        <v>11</v>
      </c>
      <c r="AD6" s="92" t="s">
        <v>281</v>
      </c>
      <c r="AE6" s="92" t="s">
        <v>8</v>
      </c>
      <c r="AF6" s="92" t="s">
        <v>309</v>
      </c>
      <c r="AG6" s="92" t="s">
        <v>310</v>
      </c>
      <c r="AH6" s="92"/>
      <c r="AI6" s="92"/>
      <c r="AJ6" s="92" t="s">
        <v>311</v>
      </c>
      <c r="AK6" s="98" t="s">
        <v>284</v>
      </c>
      <c r="AL6" s="97" t="s">
        <v>285</v>
      </c>
      <c r="AM6" s="92" t="s">
        <v>286</v>
      </c>
      <c r="AN6" s="92" t="s">
        <v>287</v>
      </c>
      <c r="AO6" s="92" t="s">
        <v>288</v>
      </c>
      <c r="AP6" s="92" t="s">
        <v>289</v>
      </c>
      <c r="AQ6" s="92" t="s">
        <v>320</v>
      </c>
      <c r="AR6" s="92" t="s">
        <v>321</v>
      </c>
      <c r="AS6" s="92" t="e">
        <f>VLOOKUP(U6,#REF!,5,0)</f>
        <v>#REF!</v>
      </c>
      <c r="AT6" s="92" t="e">
        <f t="shared" si="3"/>
        <v>#REF!</v>
      </c>
      <c r="AU6" s="92"/>
      <c r="AV6" s="92">
        <v>239</v>
      </c>
      <c r="AW6" s="92">
        <v>239</v>
      </c>
      <c r="AX6" s="92"/>
      <c r="AY6" s="92"/>
      <c r="AZ6" s="92" t="s">
        <v>292</v>
      </c>
      <c r="BA6" s="92" t="s">
        <v>314</v>
      </c>
      <c r="BB6" s="92" t="s">
        <v>280</v>
      </c>
      <c r="BC6" s="92"/>
      <c r="BD6" s="92" t="s">
        <v>315</v>
      </c>
      <c r="BE6" s="92">
        <v>5</v>
      </c>
      <c r="BF6" s="94">
        <v>46220</v>
      </c>
      <c r="BG6" s="94"/>
      <c r="BH6" s="92"/>
      <c r="BI6" s="92"/>
      <c r="BJ6" s="92"/>
      <c r="BK6" s="92" t="s">
        <v>316</v>
      </c>
      <c r="BL6" s="92" t="s">
        <v>296</v>
      </c>
      <c r="BM6" s="92">
        <v>1</v>
      </c>
      <c r="BN6" s="92"/>
      <c r="BO6" s="92">
        <f t="shared" si="4"/>
        <v>0</v>
      </c>
      <c r="BP6" s="92">
        <f t="shared" si="5"/>
        <v>0</v>
      </c>
      <c r="BQ6" s="92" t="s">
        <v>1</v>
      </c>
      <c r="BR6" s="92">
        <v>1</v>
      </c>
      <c r="BS6" s="94">
        <v>46185</v>
      </c>
      <c r="BT6" s="99" t="s">
        <v>298</v>
      </c>
      <c r="BU6" s="99" t="s">
        <v>309</v>
      </c>
      <c r="BV6" s="99" t="s">
        <v>299</v>
      </c>
      <c r="BW6" s="99" t="s">
        <v>280</v>
      </c>
      <c r="BX6" s="99">
        <v>0</v>
      </c>
      <c r="BY6" s="99">
        <v>0</v>
      </c>
      <c r="BZ6" s="99"/>
      <c r="CA6" s="92"/>
      <c r="CB6" s="92"/>
      <c r="CC6" s="92" t="s">
        <v>300</v>
      </c>
      <c r="CD6" s="92" t="s">
        <v>301</v>
      </c>
      <c r="CE6" s="92" t="s">
        <v>302</v>
      </c>
      <c r="CF6" s="92" t="s">
        <v>303</v>
      </c>
      <c r="CG6" s="100"/>
      <c r="CH6" s="101" t="s">
        <v>304</v>
      </c>
      <c r="CI6" s="92"/>
      <c r="CJ6" s="92" t="s">
        <v>317</v>
      </c>
      <c r="CK6" s="92">
        <v>0</v>
      </c>
      <c r="CL6" s="92"/>
      <c r="CM6" s="92">
        <v>0</v>
      </c>
      <c r="CN6" s="92">
        <v>0</v>
      </c>
      <c r="CO6" s="92"/>
      <c r="CP6" s="92">
        <v>0</v>
      </c>
      <c r="CQ6" s="92">
        <v>0</v>
      </c>
      <c r="CR6" s="92" t="s">
        <v>318</v>
      </c>
      <c r="CS6" s="92"/>
      <c r="CT6" s="92"/>
      <c r="CU6" s="92"/>
      <c r="CV6" s="102"/>
      <c r="CW6" s="102"/>
      <c r="CX6" s="92"/>
      <c r="CY6" s="92"/>
      <c r="CZ6" s="92"/>
      <c r="DA6" s="92"/>
      <c r="DB6" s="92">
        <f t="shared" si="6"/>
        <v>0</v>
      </c>
      <c r="DC6" s="92">
        <v>300</v>
      </c>
      <c r="DD6" s="102">
        <f t="shared" si="7"/>
        <v>71700</v>
      </c>
      <c r="DE6" s="92"/>
      <c r="DF6" s="92"/>
      <c r="DG6" s="92"/>
      <c r="DH6" s="92">
        <v>5</v>
      </c>
      <c r="DI6" s="92">
        <v>16</v>
      </c>
      <c r="DJ6" s="92">
        <v>66</v>
      </c>
      <c r="DK6" s="92">
        <v>122</v>
      </c>
      <c r="DL6" s="92">
        <v>91</v>
      </c>
      <c r="DM6" s="92">
        <v>0</v>
      </c>
      <c r="DN6" s="92">
        <v>0</v>
      </c>
      <c r="DO6" s="92">
        <v>0</v>
      </c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>
        <f t="shared" si="8"/>
        <v>300</v>
      </c>
      <c r="EX6" s="92">
        <f t="shared" si="9"/>
        <v>0</v>
      </c>
      <c r="EY6" s="92">
        <v>300</v>
      </c>
      <c r="EZ6" s="92">
        <f t="shared" si="10"/>
        <v>71700</v>
      </c>
      <c r="FA6" s="92">
        <f t="shared" si="11"/>
        <v>0</v>
      </c>
      <c r="FB6" s="92">
        <f t="shared" si="12"/>
        <v>0</v>
      </c>
    </row>
    <row r="7" s="2" customFormat="1" ht="54.95" customHeight="1" spans="1:158">
      <c r="A7" s="92"/>
      <c r="B7" s="93">
        <v>0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 t="s">
        <v>204</v>
      </c>
      <c r="N7" s="92"/>
      <c r="O7" s="92"/>
      <c r="P7" s="92" t="s">
        <v>276</v>
      </c>
      <c r="Q7" s="94">
        <v>46099</v>
      </c>
      <c r="R7" s="92"/>
      <c r="S7" s="94">
        <v>46094</v>
      </c>
      <c r="T7" s="92" t="str">
        <f t="shared" si="0"/>
        <v>326</v>
      </c>
      <c r="U7" s="95" t="s">
        <v>322</v>
      </c>
      <c r="V7" s="96" t="s">
        <v>323</v>
      </c>
      <c r="W7" s="96"/>
      <c r="X7" s="92">
        <f t="shared" si="1"/>
        <v>1</v>
      </c>
      <c r="Y7" s="92">
        <v>1</v>
      </c>
      <c r="Z7" s="92">
        <f t="shared" si="2"/>
        <v>1</v>
      </c>
      <c r="AA7" s="97" t="s">
        <v>324</v>
      </c>
      <c r="AB7" s="97" t="s">
        <v>280</v>
      </c>
      <c r="AC7" s="92" t="s">
        <v>11</v>
      </c>
      <c r="AD7" s="92" t="s">
        <v>281</v>
      </c>
      <c r="AE7" s="92" t="s">
        <v>8</v>
      </c>
      <c r="AF7" s="92" t="s">
        <v>203</v>
      </c>
      <c r="AG7" s="92" t="s">
        <v>282</v>
      </c>
      <c r="AH7" s="92"/>
      <c r="AI7" s="92"/>
      <c r="AJ7" s="92" t="s">
        <v>283</v>
      </c>
      <c r="AK7" s="98" t="s">
        <v>284</v>
      </c>
      <c r="AL7" s="97" t="s">
        <v>285</v>
      </c>
      <c r="AM7" s="92" t="s">
        <v>286</v>
      </c>
      <c r="AN7" s="92" t="s">
        <v>287</v>
      </c>
      <c r="AO7" s="92" t="s">
        <v>288</v>
      </c>
      <c r="AP7" s="92" t="s">
        <v>325</v>
      </c>
      <c r="AQ7" s="92" t="s">
        <v>326</v>
      </c>
      <c r="AR7" s="92" t="s">
        <v>327</v>
      </c>
      <c r="AS7" s="92" t="e">
        <f>VLOOKUP(U7,#REF!,5,0)</f>
        <v>#REF!</v>
      </c>
      <c r="AT7" s="92" t="e">
        <f t="shared" si="3"/>
        <v>#REF!</v>
      </c>
      <c r="AU7" s="92"/>
      <c r="AV7" s="92">
        <v>199</v>
      </c>
      <c r="AW7" s="92">
        <v>199</v>
      </c>
      <c r="AX7" s="92"/>
      <c r="AY7" s="92"/>
      <c r="AZ7" s="92" t="s">
        <v>220</v>
      </c>
      <c r="BA7" s="92" t="s">
        <v>328</v>
      </c>
      <c r="BB7" s="92" t="s">
        <v>280</v>
      </c>
      <c r="BC7" s="92"/>
      <c r="BD7" s="92" t="s">
        <v>329</v>
      </c>
      <c r="BE7" s="92">
        <v>3</v>
      </c>
      <c r="BF7" s="94">
        <v>46206</v>
      </c>
      <c r="BG7" s="94"/>
      <c r="BH7" s="92"/>
      <c r="BI7" s="92"/>
      <c r="BJ7" s="92"/>
      <c r="BK7" s="92" t="s">
        <v>295</v>
      </c>
      <c r="BL7" s="92" t="s">
        <v>296</v>
      </c>
      <c r="BM7" s="92">
        <v>1</v>
      </c>
      <c r="BN7" s="92" t="s">
        <v>297</v>
      </c>
      <c r="BO7" s="92">
        <f t="shared" si="4"/>
        <v>850</v>
      </c>
      <c r="BP7" s="92">
        <f t="shared" si="5"/>
        <v>169150</v>
      </c>
      <c r="BQ7" s="92" t="s">
        <v>1</v>
      </c>
      <c r="BR7" s="92">
        <v>1</v>
      </c>
      <c r="BS7" s="94">
        <v>46198</v>
      </c>
      <c r="BT7" s="99" t="s">
        <v>298</v>
      </c>
      <c r="BU7" s="99" t="s">
        <v>280</v>
      </c>
      <c r="BV7" s="99" t="s">
        <v>299</v>
      </c>
      <c r="BW7" s="99" t="s">
        <v>280</v>
      </c>
      <c r="BX7" s="99">
        <v>0</v>
      </c>
      <c r="BY7" s="99">
        <v>0</v>
      </c>
      <c r="BZ7" s="99"/>
      <c r="CA7" s="92"/>
      <c r="CB7" s="92"/>
      <c r="CC7" s="92" t="s">
        <v>300</v>
      </c>
      <c r="CD7" s="92" t="s">
        <v>301</v>
      </c>
      <c r="CE7" s="92" t="s">
        <v>302</v>
      </c>
      <c r="CF7" s="92" t="s">
        <v>303</v>
      </c>
      <c r="CG7" s="100"/>
      <c r="CH7" s="101" t="s">
        <v>304</v>
      </c>
      <c r="CI7" s="92"/>
      <c r="CJ7" s="92">
        <v>1</v>
      </c>
      <c r="CK7" s="92">
        <v>0</v>
      </c>
      <c r="CL7" s="92"/>
      <c r="CM7" s="92">
        <v>0</v>
      </c>
      <c r="CN7" s="92">
        <v>0</v>
      </c>
      <c r="CO7" s="92"/>
      <c r="CP7" s="92">
        <v>0</v>
      </c>
      <c r="CQ7" s="92">
        <v>0</v>
      </c>
      <c r="CR7" s="92">
        <v>20260630</v>
      </c>
      <c r="CS7" s="92"/>
      <c r="CT7" s="92"/>
      <c r="CU7" s="92"/>
      <c r="CV7" s="102"/>
      <c r="CW7" s="102"/>
      <c r="CX7" s="92"/>
      <c r="CY7" s="92"/>
      <c r="CZ7" s="92"/>
      <c r="DA7" s="92"/>
      <c r="DB7" s="92">
        <f t="shared" si="6"/>
        <v>150</v>
      </c>
      <c r="DC7" s="92">
        <v>150</v>
      </c>
      <c r="DD7" s="102">
        <f t="shared" si="7"/>
        <v>29850</v>
      </c>
      <c r="DE7" s="92"/>
      <c r="DF7" s="92"/>
      <c r="DG7" s="92"/>
      <c r="DH7" s="92">
        <v>5</v>
      </c>
      <c r="DI7" s="92">
        <v>8</v>
      </c>
      <c r="DJ7" s="92">
        <v>35</v>
      </c>
      <c r="DK7" s="92">
        <v>62</v>
      </c>
      <c r="DL7" s="92">
        <v>40</v>
      </c>
      <c r="DM7" s="92">
        <v>0</v>
      </c>
      <c r="DN7" s="92">
        <v>0</v>
      </c>
      <c r="DO7" s="92">
        <v>0</v>
      </c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92"/>
      <c r="EH7" s="92"/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>
        <f t="shared" si="8"/>
        <v>150</v>
      </c>
      <c r="EX7" s="92">
        <f t="shared" si="9"/>
        <v>0</v>
      </c>
      <c r="EY7" s="92">
        <v>1000</v>
      </c>
      <c r="EZ7" s="92">
        <f t="shared" si="10"/>
        <v>199000</v>
      </c>
      <c r="FA7" s="92">
        <f t="shared" si="11"/>
        <v>1000</v>
      </c>
      <c r="FB7" s="92">
        <f t="shared" si="12"/>
        <v>199000</v>
      </c>
    </row>
    <row r="8" s="2" customFormat="1" ht="54.95" customHeight="1" spans="1:158">
      <c r="A8" s="92"/>
      <c r="B8" s="93" t="s">
        <v>203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 t="s">
        <v>204</v>
      </c>
      <c r="N8" s="92"/>
      <c r="O8" s="92"/>
      <c r="P8" s="92" t="s">
        <v>276</v>
      </c>
      <c r="Q8" s="94">
        <v>46099</v>
      </c>
      <c r="R8" s="92"/>
      <c r="S8" s="94">
        <v>46094</v>
      </c>
      <c r="T8" s="92" t="str">
        <f t="shared" si="0"/>
        <v>326</v>
      </c>
      <c r="U8" s="95" t="s">
        <v>330</v>
      </c>
      <c r="V8" s="96" t="s">
        <v>331</v>
      </c>
      <c r="W8" s="96"/>
      <c r="X8" s="92">
        <f t="shared" si="1"/>
        <v>1</v>
      </c>
      <c r="Y8" s="92">
        <v>1</v>
      </c>
      <c r="Z8" s="92">
        <f t="shared" si="2"/>
        <v>1</v>
      </c>
      <c r="AA8" s="97" t="s">
        <v>332</v>
      </c>
      <c r="AB8" s="97" t="s">
        <v>280</v>
      </c>
      <c r="AC8" s="92" t="s">
        <v>11</v>
      </c>
      <c r="AD8" s="92" t="s">
        <v>281</v>
      </c>
      <c r="AE8" s="92" t="s">
        <v>8</v>
      </c>
      <c r="AF8" s="92" t="s">
        <v>203</v>
      </c>
      <c r="AG8" s="92" t="s">
        <v>282</v>
      </c>
      <c r="AH8" s="92"/>
      <c r="AI8" s="92"/>
      <c r="AJ8" s="92" t="s">
        <v>283</v>
      </c>
      <c r="AK8" s="98" t="s">
        <v>284</v>
      </c>
      <c r="AL8" s="97" t="s">
        <v>285</v>
      </c>
      <c r="AM8" s="92" t="s">
        <v>286</v>
      </c>
      <c r="AN8" s="92" t="s">
        <v>333</v>
      </c>
      <c r="AO8" s="92" t="s">
        <v>288</v>
      </c>
      <c r="AP8" s="92" t="s">
        <v>289</v>
      </c>
      <c r="AQ8" s="92" t="s">
        <v>334</v>
      </c>
      <c r="AR8" s="92" t="s">
        <v>241</v>
      </c>
      <c r="AS8" s="92" t="e">
        <f>VLOOKUP(U8,#REF!,5,0)</f>
        <v>#REF!</v>
      </c>
      <c r="AT8" s="92" t="e">
        <f t="shared" si="3"/>
        <v>#REF!</v>
      </c>
      <c r="AU8" s="92"/>
      <c r="AV8" s="92">
        <v>239</v>
      </c>
      <c r="AW8" s="92">
        <v>239</v>
      </c>
      <c r="AX8" s="92"/>
      <c r="AY8" s="92"/>
      <c r="AZ8" s="92" t="s">
        <v>292</v>
      </c>
      <c r="BA8" s="92" t="s">
        <v>335</v>
      </c>
      <c r="BB8" s="92" t="s">
        <v>280</v>
      </c>
      <c r="BC8" s="92"/>
      <c r="BD8" s="92" t="s">
        <v>336</v>
      </c>
      <c r="BE8" s="92">
        <v>4</v>
      </c>
      <c r="BF8" s="94">
        <v>46213</v>
      </c>
      <c r="BG8" s="94"/>
      <c r="BH8" s="92"/>
      <c r="BI8" s="92"/>
      <c r="BJ8" s="92"/>
      <c r="BK8" s="92" t="s">
        <v>295</v>
      </c>
      <c r="BL8" s="92" t="s">
        <v>296</v>
      </c>
      <c r="BM8" s="92">
        <v>1</v>
      </c>
      <c r="BN8" s="92" t="s">
        <v>297</v>
      </c>
      <c r="BO8" s="92">
        <f t="shared" si="4"/>
        <v>450</v>
      </c>
      <c r="BP8" s="92">
        <f t="shared" si="5"/>
        <v>107550</v>
      </c>
      <c r="BQ8" s="92" t="s">
        <v>1</v>
      </c>
      <c r="BR8" s="92">
        <v>1</v>
      </c>
      <c r="BS8" s="94">
        <v>46185</v>
      </c>
      <c r="BT8" s="99" t="s">
        <v>337</v>
      </c>
      <c r="BU8" s="99" t="s">
        <v>280</v>
      </c>
      <c r="BV8" s="99" t="s">
        <v>299</v>
      </c>
      <c r="BW8" s="99" t="s">
        <v>280</v>
      </c>
      <c r="BX8" s="99">
        <v>0</v>
      </c>
      <c r="BY8" s="99">
        <v>0</v>
      </c>
      <c r="BZ8" s="99"/>
      <c r="CA8" s="92"/>
      <c r="CB8" s="92"/>
      <c r="CC8" s="92" t="s">
        <v>300</v>
      </c>
      <c r="CD8" s="92" t="s">
        <v>301</v>
      </c>
      <c r="CE8" s="92" t="s">
        <v>302</v>
      </c>
      <c r="CF8" s="92" t="s">
        <v>303</v>
      </c>
      <c r="CG8" s="100"/>
      <c r="CH8" s="101" t="s">
        <v>338</v>
      </c>
      <c r="CI8" s="92"/>
      <c r="CJ8" s="92" t="s">
        <v>305</v>
      </c>
      <c r="CK8" s="92" t="s">
        <v>305</v>
      </c>
      <c r="CL8" s="92"/>
      <c r="CM8" s="92">
        <v>0</v>
      </c>
      <c r="CN8" s="92">
        <v>0</v>
      </c>
      <c r="CO8" s="92"/>
      <c r="CP8" s="92">
        <v>0</v>
      </c>
      <c r="CQ8" s="92">
        <v>0</v>
      </c>
      <c r="CR8" s="92" t="s">
        <v>339</v>
      </c>
      <c r="CS8" s="92"/>
      <c r="CT8" s="92"/>
      <c r="CU8" s="92"/>
      <c r="CV8" s="102"/>
      <c r="CW8" s="102"/>
      <c r="CX8" s="92"/>
      <c r="CY8" s="92"/>
      <c r="CZ8" s="92"/>
      <c r="DA8" s="92"/>
      <c r="DB8" s="92">
        <f t="shared" si="6"/>
        <v>350</v>
      </c>
      <c r="DC8" s="92">
        <v>350</v>
      </c>
      <c r="DD8" s="102">
        <f t="shared" si="7"/>
        <v>83650</v>
      </c>
      <c r="DE8" s="92"/>
      <c r="DF8" s="92"/>
      <c r="DG8" s="92"/>
      <c r="DH8" s="92">
        <v>5</v>
      </c>
      <c r="DI8" s="92">
        <v>26</v>
      </c>
      <c r="DJ8" s="92">
        <v>78</v>
      </c>
      <c r="DK8" s="92">
        <v>135</v>
      </c>
      <c r="DL8" s="92">
        <v>106</v>
      </c>
      <c r="DM8" s="92">
        <v>0</v>
      </c>
      <c r="DN8" s="92">
        <v>0</v>
      </c>
      <c r="DO8" s="92">
        <v>0</v>
      </c>
      <c r="DP8" s="92"/>
      <c r="DQ8" s="92"/>
      <c r="DR8" s="92"/>
      <c r="DS8" s="92"/>
      <c r="DT8" s="92"/>
      <c r="DU8" s="92"/>
      <c r="DV8" s="92"/>
      <c r="DW8" s="92"/>
      <c r="DX8" s="92"/>
      <c r="DY8" s="92"/>
      <c r="DZ8" s="92"/>
      <c r="EA8" s="92"/>
      <c r="EB8" s="92"/>
      <c r="EC8" s="92"/>
      <c r="ED8" s="92"/>
      <c r="EE8" s="92"/>
      <c r="EF8" s="92"/>
      <c r="EG8" s="92"/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2"/>
      <c r="ET8" s="92"/>
      <c r="EU8" s="92"/>
      <c r="EV8" s="92"/>
      <c r="EW8" s="92">
        <f t="shared" si="8"/>
        <v>350</v>
      </c>
      <c r="EX8" s="92">
        <f t="shared" si="9"/>
        <v>0</v>
      </c>
      <c r="EY8" s="92">
        <v>800</v>
      </c>
      <c r="EZ8" s="92">
        <f t="shared" si="10"/>
        <v>191200</v>
      </c>
      <c r="FA8" s="92">
        <f t="shared" si="11"/>
        <v>800</v>
      </c>
      <c r="FB8" s="92">
        <f t="shared" si="12"/>
        <v>191200</v>
      </c>
    </row>
  </sheetData>
  <mergeCells count="1">
    <mergeCell ref="BT2:BZ2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2026-线上</vt:lpstr>
      <vt:lpstr>2026-全域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何卫彬</dc:creator>
  <cp:lastModifiedBy>易成kim</cp:lastModifiedBy>
  <dcterms:created xsi:type="dcterms:W3CDTF">2023-05-18T11:15:00Z</dcterms:created>
  <dcterms:modified xsi:type="dcterms:W3CDTF">2026-06-29T10:53:47Z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ICV">
    <vt:lpwstr>2E45D08703389B852DD8416AFE0C108D_43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